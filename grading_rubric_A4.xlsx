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etup" sheetId="1" state="visible" r:id="rId1"/>
    <sheet name="Rubri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2"/>
    </font>
    <font>
      <b val="1"/>
      <color rgb="004472C4"/>
      <sz val="12"/>
    </font>
    <font>
      <i val="1"/>
      <color rgb="00808080"/>
      <sz val="10"/>
    </font>
    <font>
      <b val="1"/>
      <color rgb="00FFFFFF"/>
      <sz val="11"/>
    </font>
    <font>
      <b val="1"/>
      <color rgb="00FFFFFF"/>
      <sz val="9"/>
    </font>
    <font>
      <b val="1"/>
      <sz val="11"/>
    </font>
    <font>
      <sz val="12"/>
    </font>
    <font>
      <color rgb="00A6A6A6"/>
      <sz val="7"/>
    </font>
  </fonts>
  <fills count="10">
    <fill>
      <patternFill/>
    </fill>
    <fill>
      <patternFill patternType="gray125"/>
    </fill>
    <fill>
      <patternFill patternType="solid">
        <fgColor rgb="002E2C28"/>
      </patternFill>
    </fill>
    <fill>
      <patternFill patternType="solid">
        <fgColor rgb="00FFF2CC"/>
      </patternFill>
    </fill>
    <fill>
      <patternFill patternType="solid">
        <fgColor rgb="00595959"/>
      </patternFill>
    </fill>
    <fill>
      <patternFill patternType="solid">
        <fgColor rgb="002F5496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medium">
        <color rgb="007F7F7F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 style="medium">
        <color rgb="00404040"/>
      </right>
      <top style="thin">
        <color rgb="00B0B0B0"/>
      </top>
      <bottom style="thin">
        <color rgb="00B0B0B0"/>
      </bottom>
    </border>
    <border>
      <left style="medium">
        <color rgb="00404040"/>
      </left>
      <right style="thin">
        <color rgb="00B0B0B0"/>
      </right>
      <top style="thin">
        <color rgb="00B0B0B0"/>
      </top>
      <bottom style="medium">
        <color rgb="00404040"/>
      </bottom>
    </border>
    <border>
      <left style="medium">
        <color rgb="007F7F7F"/>
      </left>
      <right style="thin">
        <color rgb="00B0B0B0"/>
      </right>
      <top style="thin">
        <color rgb="00B0B0B0"/>
      </top>
      <bottom style="medium">
        <color rgb="0040404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medium">
        <color rgb="00404040"/>
      </bottom>
    </border>
    <border>
      <left style="thin">
        <color rgb="00B0B0B0"/>
      </left>
      <right style="medium">
        <color rgb="00404040"/>
      </right>
      <top style="thin">
        <color rgb="00B0B0B0"/>
      </top>
      <bottom style="medium">
        <color rgb="0040404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0" fillId="5" borderId="4" pivotButton="0" quotePrefix="0" xfId="0"/>
    <xf numFmtId="0" fontId="6" fillId="6" borderId="3" applyAlignment="1" pivotButton="0" quotePrefix="0" xfId="0">
      <alignment horizontal="center" vertical="center"/>
    </xf>
    <xf numFmtId="0" fontId="0" fillId="6" borderId="4" pivotButton="0" quotePrefix="0" xfId="0"/>
    <xf numFmtId="0" fontId="0" fillId="6" borderId="5" pivotButton="0" quotePrefix="0" xfId="0"/>
    <xf numFmtId="0" fontId="7" fillId="7" borderId="2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5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9" borderId="7" applyAlignment="1" pivotButton="0" quotePrefix="0" xfId="0">
      <alignment horizontal="center" vertical="center"/>
    </xf>
    <xf numFmtId="0" fontId="8" fillId="9" borderId="8" applyAlignment="1" pivotButton="0" quotePrefix="0" xfId="0">
      <alignment horizontal="center" vertical="center"/>
    </xf>
    <xf numFmtId="0" fontId="8" fillId="9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</cols>
  <sheetData>
    <row r="1" ht="26" customHeight="1">
      <c r="A1" s="1" t="inlineStr">
        <is>
          <t>RUBRIC SETUP</t>
        </is>
      </c>
      <c r="B1" s="2" t="n"/>
    </row>
    <row r="3" ht="24" customHeight="1">
      <c r="A3" s="3" t="inlineStr">
        <is>
          <t>Problem type:</t>
        </is>
      </c>
      <c r="B3" s="4" t="inlineStr">
        <is>
          <t>Single-unknown</t>
        </is>
      </c>
    </row>
    <row r="5">
      <c r="A5" s="5" t="inlineStr">
        <is>
          <t>Total points</t>
        </is>
      </c>
      <c r="B5" s="6">
        <f>IF(B3="Single-unknown",5,10)</f>
        <v/>
      </c>
    </row>
    <row r="6">
      <c r="A6" s="5" t="inlineStr">
        <is>
          <t>Final Answer max</t>
        </is>
      </c>
      <c r="B6" s="6">
        <f>IF(B3="Single-unknown",2,4)</f>
        <v/>
      </c>
    </row>
    <row r="7">
      <c r="A7" s="5" t="inlineStr">
        <is>
          <t>Concept &amp; Execution max</t>
        </is>
      </c>
      <c r="B7" s="6">
        <f>IF(B3="Single-unknown",3,6)</f>
        <v/>
      </c>
    </row>
    <row r="9">
      <c r="A9" s="7" t="inlineStr">
        <is>
          <t>How it works:  choose the type in B3, then print the Rubric sheet. It prints 6 identical slips on one A4 page — cut them apart. Circle one number in each column, per problem.</t>
        </is>
      </c>
    </row>
    <row r="10"/>
    <row r="11"/>
    <row r="12"/>
  </sheetData>
  <mergeCells count="2">
    <mergeCell ref="A9:B12"/>
    <mergeCell ref="A1:B1"/>
  </mergeCells>
  <dataValidations count="1">
    <dataValidation sqref="B3" showDropDown="0" showInputMessage="0" showErrorMessage="0" allowBlank="0" promptTitle="Select problem type" prompt="Pick the problem type. The Rubric sheet updates automatically." type="list">
      <formula1>"Single-unknown,Multi-step / Multi-unknown"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47"/>
  <sheetViews>
    <sheetView workbookViewId="0">
      <selection activeCell="A1" sqref="A1"/>
    </sheetView>
  </sheetViews>
  <sheetFormatPr baseColWidth="8" defaultRowHeight="15"/>
  <cols>
    <col width="7" customWidth="1" min="1" max="1"/>
    <col width="5.1" customWidth="1" min="2" max="2"/>
    <col width="5.1" customWidth="1" min="3" max="3"/>
    <col width="5.1" customWidth="1" min="4" max="4"/>
    <col width="5.1" customWidth="1" min="5" max="5"/>
    <col width="5.1" customWidth="1" min="6" max="6"/>
    <col width="5.1" customWidth="1" min="7" max="7"/>
    <col width="5.1" customWidth="1" min="8" max="8"/>
    <col width="5.1" customWidth="1" min="9" max="9"/>
    <col width="5.1" customWidth="1" min="10" max="10"/>
    <col width="5.1" customWidth="1" min="11" max="11"/>
    <col width="5.1" customWidth="1" min="12" max="12"/>
    <col width="5.1" customWidth="1" min="13" max="13"/>
  </cols>
  <sheetData>
    <row r="1" ht="20" customHeight="1">
      <c r="A1" s="8">
        <f>IF(Setup!$B$3="Single-unknown","SINGLE-UNKNOWN  —  Total 5 pts   (circle one per column)","MULTI-STEP / MULTI-UNKNOWN  —  Total 10 pts   (circle one per column)")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5" customHeight="1">
      <c r="A2" s="9" t="inlineStr">
        <is>
          <t>Prob</t>
        </is>
      </c>
      <c r="B2" s="10">
        <f>"Final Answer (0-"&amp;Setup!$B$6&amp;")"</f>
        <v/>
      </c>
      <c r="C2" s="11" t="n"/>
      <c r="D2" s="11" t="n"/>
      <c r="E2" s="11" t="n"/>
      <c r="F2" s="11" t="n"/>
      <c r="G2" s="12">
        <f>"Concept &amp; Execution (0-"&amp;Setup!$B$7&amp;")"</f>
        <v/>
      </c>
      <c r="H2" s="13" t="n"/>
      <c r="I2" s="13" t="n"/>
      <c r="J2" s="13" t="n"/>
      <c r="K2" s="13" t="n"/>
      <c r="L2" s="13" t="n"/>
      <c r="M2" s="14" t="n"/>
    </row>
    <row r="3" ht="21" customHeight="1">
      <c r="A3" s="15" t="n">
        <v>1</v>
      </c>
      <c r="B3" s="16">
        <f>IF(0&lt;=Setup!$B$6,0,"")</f>
        <v/>
      </c>
      <c r="C3" s="17">
        <f>IF(1&lt;=Setup!$B$6,1,"")</f>
        <v/>
      </c>
      <c r="D3" s="17">
        <f>IF(2&lt;=Setup!$B$6,2,"")</f>
        <v/>
      </c>
      <c r="E3" s="17">
        <f>IF(3&lt;=Setup!$B$6,3,"")</f>
        <v/>
      </c>
      <c r="F3" s="17">
        <f>IF(4&lt;=Setup!$B$6,4,"")</f>
        <v/>
      </c>
      <c r="G3" s="18">
        <f>IF(0&lt;=Setup!$B$7,0,"")</f>
        <v/>
      </c>
      <c r="H3" s="19">
        <f>IF(1&lt;=Setup!$B$7,1,"")</f>
        <v/>
      </c>
      <c r="I3" s="19">
        <f>IF(2&lt;=Setup!$B$7,2,"")</f>
        <v/>
      </c>
      <c r="J3" s="19">
        <f>IF(3&lt;=Setup!$B$7,3,"")</f>
        <v/>
      </c>
      <c r="K3" s="19">
        <f>IF(4&lt;=Setup!$B$7,4,"")</f>
        <v/>
      </c>
      <c r="L3" s="19">
        <f>IF(5&lt;=Setup!$B$7,5,"")</f>
        <v/>
      </c>
      <c r="M3" s="20">
        <f>IF(6&lt;=Setup!$B$7,6,"")</f>
        <v/>
      </c>
    </row>
    <row r="4" ht="21" customHeight="1">
      <c r="A4" s="15" t="n">
        <v>2</v>
      </c>
      <c r="B4" s="16">
        <f>IF(0&lt;=Setup!$B$6,0,"")</f>
        <v/>
      </c>
      <c r="C4" s="17">
        <f>IF(1&lt;=Setup!$B$6,1,"")</f>
        <v/>
      </c>
      <c r="D4" s="17">
        <f>IF(2&lt;=Setup!$B$6,2,"")</f>
        <v/>
      </c>
      <c r="E4" s="17">
        <f>IF(3&lt;=Setup!$B$6,3,"")</f>
        <v/>
      </c>
      <c r="F4" s="17">
        <f>IF(4&lt;=Setup!$B$6,4,"")</f>
        <v/>
      </c>
      <c r="G4" s="18">
        <f>IF(0&lt;=Setup!$B$7,0,"")</f>
        <v/>
      </c>
      <c r="H4" s="19">
        <f>IF(1&lt;=Setup!$B$7,1,"")</f>
        <v/>
      </c>
      <c r="I4" s="19">
        <f>IF(2&lt;=Setup!$B$7,2,"")</f>
        <v/>
      </c>
      <c r="J4" s="19">
        <f>IF(3&lt;=Setup!$B$7,3,"")</f>
        <v/>
      </c>
      <c r="K4" s="19">
        <f>IF(4&lt;=Setup!$B$7,4,"")</f>
        <v/>
      </c>
      <c r="L4" s="19">
        <f>IF(5&lt;=Setup!$B$7,5,"")</f>
        <v/>
      </c>
      <c r="M4" s="20">
        <f>IF(6&lt;=Setup!$B$7,6,"")</f>
        <v/>
      </c>
    </row>
    <row r="5" ht="21" customHeight="1">
      <c r="A5" s="15" t="n">
        <v>3</v>
      </c>
      <c r="B5" s="16">
        <f>IF(0&lt;=Setup!$B$6,0,"")</f>
        <v/>
      </c>
      <c r="C5" s="17">
        <f>IF(1&lt;=Setup!$B$6,1,"")</f>
        <v/>
      </c>
      <c r="D5" s="17">
        <f>IF(2&lt;=Setup!$B$6,2,"")</f>
        <v/>
      </c>
      <c r="E5" s="17">
        <f>IF(3&lt;=Setup!$B$6,3,"")</f>
        <v/>
      </c>
      <c r="F5" s="17">
        <f>IF(4&lt;=Setup!$B$6,4,"")</f>
        <v/>
      </c>
      <c r="G5" s="18">
        <f>IF(0&lt;=Setup!$B$7,0,"")</f>
        <v/>
      </c>
      <c r="H5" s="19">
        <f>IF(1&lt;=Setup!$B$7,1,"")</f>
        <v/>
      </c>
      <c r="I5" s="19">
        <f>IF(2&lt;=Setup!$B$7,2,"")</f>
        <v/>
      </c>
      <c r="J5" s="19">
        <f>IF(3&lt;=Setup!$B$7,3,"")</f>
        <v/>
      </c>
      <c r="K5" s="19">
        <f>IF(4&lt;=Setup!$B$7,4,"")</f>
        <v/>
      </c>
      <c r="L5" s="19">
        <f>IF(5&lt;=Setup!$B$7,5,"")</f>
        <v/>
      </c>
      <c r="M5" s="20">
        <f>IF(6&lt;=Setup!$B$7,6,"")</f>
        <v/>
      </c>
    </row>
    <row r="6" ht="21" customHeight="1">
      <c r="A6" s="15" t="n">
        <v>4</v>
      </c>
      <c r="B6" s="16">
        <f>IF(0&lt;=Setup!$B$6,0,"")</f>
        <v/>
      </c>
      <c r="C6" s="17">
        <f>IF(1&lt;=Setup!$B$6,1,"")</f>
        <v/>
      </c>
      <c r="D6" s="17">
        <f>IF(2&lt;=Setup!$B$6,2,"")</f>
        <v/>
      </c>
      <c r="E6" s="17">
        <f>IF(3&lt;=Setup!$B$6,3,"")</f>
        <v/>
      </c>
      <c r="F6" s="17">
        <f>IF(4&lt;=Setup!$B$6,4,"")</f>
        <v/>
      </c>
      <c r="G6" s="18">
        <f>IF(0&lt;=Setup!$B$7,0,"")</f>
        <v/>
      </c>
      <c r="H6" s="19">
        <f>IF(1&lt;=Setup!$B$7,1,"")</f>
        <v/>
      </c>
      <c r="I6" s="19">
        <f>IF(2&lt;=Setup!$B$7,2,"")</f>
        <v/>
      </c>
      <c r="J6" s="19">
        <f>IF(3&lt;=Setup!$B$7,3,"")</f>
        <v/>
      </c>
      <c r="K6" s="19">
        <f>IF(4&lt;=Setup!$B$7,4,"")</f>
        <v/>
      </c>
      <c r="L6" s="19">
        <f>IF(5&lt;=Setup!$B$7,5,"")</f>
        <v/>
      </c>
      <c r="M6" s="20">
        <f>IF(6&lt;=Setup!$B$7,6,"")</f>
        <v/>
      </c>
    </row>
    <row r="7" ht="21" customHeight="1">
      <c r="A7" s="21" t="n">
        <v>5</v>
      </c>
      <c r="B7" s="22">
        <f>IF(0&lt;=Setup!$B$6,0,"")</f>
        <v/>
      </c>
      <c r="C7" s="23">
        <f>IF(1&lt;=Setup!$B$6,1,"")</f>
        <v/>
      </c>
      <c r="D7" s="23">
        <f>IF(2&lt;=Setup!$B$6,2,"")</f>
        <v/>
      </c>
      <c r="E7" s="23">
        <f>IF(3&lt;=Setup!$B$6,3,"")</f>
        <v/>
      </c>
      <c r="F7" s="23">
        <f>IF(4&lt;=Setup!$B$6,4,"")</f>
        <v/>
      </c>
      <c r="G7" s="24">
        <f>IF(0&lt;=Setup!$B$7,0,"")</f>
        <v/>
      </c>
      <c r="H7" s="25">
        <f>IF(1&lt;=Setup!$B$7,1,"")</f>
        <v/>
      </c>
      <c r="I7" s="25">
        <f>IF(2&lt;=Setup!$B$7,2,"")</f>
        <v/>
      </c>
      <c r="J7" s="25">
        <f>IF(3&lt;=Setup!$B$7,3,"")</f>
        <v/>
      </c>
      <c r="K7" s="25">
        <f>IF(4&lt;=Setup!$B$7,4,"")</f>
        <v/>
      </c>
      <c r="L7" s="25">
        <f>IF(5&lt;=Setup!$B$7,5,"")</f>
        <v/>
      </c>
      <c r="M7" s="26">
        <f>IF(6&lt;=Setup!$B$7,6,"")</f>
        <v/>
      </c>
    </row>
    <row r="8" ht="10" customHeight="1">
      <c r="A8" s="27" t="inlineStr">
        <is>
          <t>✂  - - - - - - - - - - - - - - - - - - - - - - - - - - - - - - - - - - - - - - - - - - - - - -   cut here</t>
        </is>
      </c>
    </row>
    <row r="9" ht="20" customHeight="1">
      <c r="A9" s="8">
        <f>IF(Setup!$B$3="Single-unknown","SINGLE-UNKNOWN  —  Total 5 pts   (circle one per column)","MULTI-STEP / MULTI-UNKNOWN  —  Total 10 pts   (circle one per column)")</f>
        <v/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 ht="15" customHeight="1">
      <c r="A10" s="9" t="inlineStr">
        <is>
          <t>Prob</t>
        </is>
      </c>
      <c r="B10" s="10">
        <f>"Final Answer (0-"&amp;Setup!$B$6&amp;")"</f>
        <v/>
      </c>
      <c r="C10" s="11" t="n"/>
      <c r="D10" s="11" t="n"/>
      <c r="E10" s="11" t="n"/>
      <c r="F10" s="11" t="n"/>
      <c r="G10" s="12">
        <f>"Concept &amp; Execution (0-"&amp;Setup!$B$7&amp;")"</f>
        <v/>
      </c>
      <c r="H10" s="13" t="n"/>
      <c r="I10" s="13" t="n"/>
      <c r="J10" s="13" t="n"/>
      <c r="K10" s="13" t="n"/>
      <c r="L10" s="13" t="n"/>
      <c r="M10" s="14" t="n"/>
    </row>
    <row r="11" ht="21" customHeight="1">
      <c r="A11" s="15" t="n">
        <v>1</v>
      </c>
      <c r="B11" s="16">
        <f>IF(0&lt;=Setup!$B$6,0,"")</f>
        <v/>
      </c>
      <c r="C11" s="17">
        <f>IF(1&lt;=Setup!$B$6,1,"")</f>
        <v/>
      </c>
      <c r="D11" s="17">
        <f>IF(2&lt;=Setup!$B$6,2,"")</f>
        <v/>
      </c>
      <c r="E11" s="17">
        <f>IF(3&lt;=Setup!$B$6,3,"")</f>
        <v/>
      </c>
      <c r="F11" s="17">
        <f>IF(4&lt;=Setup!$B$6,4,"")</f>
        <v/>
      </c>
      <c r="G11" s="18">
        <f>IF(0&lt;=Setup!$B$7,0,"")</f>
        <v/>
      </c>
      <c r="H11" s="19">
        <f>IF(1&lt;=Setup!$B$7,1,"")</f>
        <v/>
      </c>
      <c r="I11" s="19">
        <f>IF(2&lt;=Setup!$B$7,2,"")</f>
        <v/>
      </c>
      <c r="J11" s="19">
        <f>IF(3&lt;=Setup!$B$7,3,"")</f>
        <v/>
      </c>
      <c r="K11" s="19">
        <f>IF(4&lt;=Setup!$B$7,4,"")</f>
        <v/>
      </c>
      <c r="L11" s="19">
        <f>IF(5&lt;=Setup!$B$7,5,"")</f>
        <v/>
      </c>
      <c r="M11" s="20">
        <f>IF(6&lt;=Setup!$B$7,6,"")</f>
        <v/>
      </c>
    </row>
    <row r="12" ht="21" customHeight="1">
      <c r="A12" s="15" t="n">
        <v>2</v>
      </c>
      <c r="B12" s="16">
        <f>IF(0&lt;=Setup!$B$6,0,"")</f>
        <v/>
      </c>
      <c r="C12" s="17">
        <f>IF(1&lt;=Setup!$B$6,1,"")</f>
        <v/>
      </c>
      <c r="D12" s="17">
        <f>IF(2&lt;=Setup!$B$6,2,"")</f>
        <v/>
      </c>
      <c r="E12" s="17">
        <f>IF(3&lt;=Setup!$B$6,3,"")</f>
        <v/>
      </c>
      <c r="F12" s="17">
        <f>IF(4&lt;=Setup!$B$6,4,"")</f>
        <v/>
      </c>
      <c r="G12" s="18">
        <f>IF(0&lt;=Setup!$B$7,0,"")</f>
        <v/>
      </c>
      <c r="H12" s="19">
        <f>IF(1&lt;=Setup!$B$7,1,"")</f>
        <v/>
      </c>
      <c r="I12" s="19">
        <f>IF(2&lt;=Setup!$B$7,2,"")</f>
        <v/>
      </c>
      <c r="J12" s="19">
        <f>IF(3&lt;=Setup!$B$7,3,"")</f>
        <v/>
      </c>
      <c r="K12" s="19">
        <f>IF(4&lt;=Setup!$B$7,4,"")</f>
        <v/>
      </c>
      <c r="L12" s="19">
        <f>IF(5&lt;=Setup!$B$7,5,"")</f>
        <v/>
      </c>
      <c r="M12" s="20">
        <f>IF(6&lt;=Setup!$B$7,6,"")</f>
        <v/>
      </c>
    </row>
    <row r="13" ht="21" customHeight="1">
      <c r="A13" s="15" t="n">
        <v>3</v>
      </c>
      <c r="B13" s="16">
        <f>IF(0&lt;=Setup!$B$6,0,"")</f>
        <v/>
      </c>
      <c r="C13" s="17">
        <f>IF(1&lt;=Setup!$B$6,1,"")</f>
        <v/>
      </c>
      <c r="D13" s="17">
        <f>IF(2&lt;=Setup!$B$6,2,"")</f>
        <v/>
      </c>
      <c r="E13" s="17">
        <f>IF(3&lt;=Setup!$B$6,3,"")</f>
        <v/>
      </c>
      <c r="F13" s="17">
        <f>IF(4&lt;=Setup!$B$6,4,"")</f>
        <v/>
      </c>
      <c r="G13" s="18">
        <f>IF(0&lt;=Setup!$B$7,0,"")</f>
        <v/>
      </c>
      <c r="H13" s="19">
        <f>IF(1&lt;=Setup!$B$7,1,"")</f>
        <v/>
      </c>
      <c r="I13" s="19">
        <f>IF(2&lt;=Setup!$B$7,2,"")</f>
        <v/>
      </c>
      <c r="J13" s="19">
        <f>IF(3&lt;=Setup!$B$7,3,"")</f>
        <v/>
      </c>
      <c r="K13" s="19">
        <f>IF(4&lt;=Setup!$B$7,4,"")</f>
        <v/>
      </c>
      <c r="L13" s="19">
        <f>IF(5&lt;=Setup!$B$7,5,"")</f>
        <v/>
      </c>
      <c r="M13" s="20">
        <f>IF(6&lt;=Setup!$B$7,6,"")</f>
        <v/>
      </c>
    </row>
    <row r="14" ht="21" customHeight="1">
      <c r="A14" s="15" t="n">
        <v>4</v>
      </c>
      <c r="B14" s="16">
        <f>IF(0&lt;=Setup!$B$6,0,"")</f>
        <v/>
      </c>
      <c r="C14" s="17">
        <f>IF(1&lt;=Setup!$B$6,1,"")</f>
        <v/>
      </c>
      <c r="D14" s="17">
        <f>IF(2&lt;=Setup!$B$6,2,"")</f>
        <v/>
      </c>
      <c r="E14" s="17">
        <f>IF(3&lt;=Setup!$B$6,3,"")</f>
        <v/>
      </c>
      <c r="F14" s="17">
        <f>IF(4&lt;=Setup!$B$6,4,"")</f>
        <v/>
      </c>
      <c r="G14" s="18">
        <f>IF(0&lt;=Setup!$B$7,0,"")</f>
        <v/>
      </c>
      <c r="H14" s="19">
        <f>IF(1&lt;=Setup!$B$7,1,"")</f>
        <v/>
      </c>
      <c r="I14" s="19">
        <f>IF(2&lt;=Setup!$B$7,2,"")</f>
        <v/>
      </c>
      <c r="J14" s="19">
        <f>IF(3&lt;=Setup!$B$7,3,"")</f>
        <v/>
      </c>
      <c r="K14" s="19">
        <f>IF(4&lt;=Setup!$B$7,4,"")</f>
        <v/>
      </c>
      <c r="L14" s="19">
        <f>IF(5&lt;=Setup!$B$7,5,"")</f>
        <v/>
      </c>
      <c r="M14" s="20">
        <f>IF(6&lt;=Setup!$B$7,6,"")</f>
        <v/>
      </c>
    </row>
    <row r="15" ht="21" customHeight="1">
      <c r="A15" s="21" t="n">
        <v>5</v>
      </c>
      <c r="B15" s="22">
        <f>IF(0&lt;=Setup!$B$6,0,"")</f>
        <v/>
      </c>
      <c r="C15" s="23">
        <f>IF(1&lt;=Setup!$B$6,1,"")</f>
        <v/>
      </c>
      <c r="D15" s="23">
        <f>IF(2&lt;=Setup!$B$6,2,"")</f>
        <v/>
      </c>
      <c r="E15" s="23">
        <f>IF(3&lt;=Setup!$B$6,3,"")</f>
        <v/>
      </c>
      <c r="F15" s="23">
        <f>IF(4&lt;=Setup!$B$6,4,"")</f>
        <v/>
      </c>
      <c r="G15" s="24">
        <f>IF(0&lt;=Setup!$B$7,0,"")</f>
        <v/>
      </c>
      <c r="H15" s="25">
        <f>IF(1&lt;=Setup!$B$7,1,"")</f>
        <v/>
      </c>
      <c r="I15" s="25">
        <f>IF(2&lt;=Setup!$B$7,2,"")</f>
        <v/>
      </c>
      <c r="J15" s="25">
        <f>IF(3&lt;=Setup!$B$7,3,"")</f>
        <v/>
      </c>
      <c r="K15" s="25">
        <f>IF(4&lt;=Setup!$B$7,4,"")</f>
        <v/>
      </c>
      <c r="L15" s="25">
        <f>IF(5&lt;=Setup!$B$7,5,"")</f>
        <v/>
      </c>
      <c r="M15" s="26">
        <f>IF(6&lt;=Setup!$B$7,6,"")</f>
        <v/>
      </c>
    </row>
    <row r="16" ht="10" customHeight="1">
      <c r="A16" s="27" t="inlineStr">
        <is>
          <t>✂  - - - - - - - - - - - - - - - - - - - - - - - - - - - - - - - - - - - - - - - - - - - - - -   cut here</t>
        </is>
      </c>
    </row>
    <row r="17" ht="20" customHeight="1">
      <c r="A17" s="8">
        <f>IF(Setup!$B$3="Single-unknown","SINGLE-UNKNOWN  —  Total 5 pts   (circle one per column)","MULTI-STEP / MULTI-UNKNOWN  —  Total 10 pts   (circle one per column)")</f>
        <v/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5" customHeight="1">
      <c r="A18" s="9" t="inlineStr">
        <is>
          <t>Prob</t>
        </is>
      </c>
      <c r="B18" s="10">
        <f>"Final Answer (0-"&amp;Setup!$B$6&amp;")"</f>
        <v/>
      </c>
      <c r="C18" s="11" t="n"/>
      <c r="D18" s="11" t="n"/>
      <c r="E18" s="11" t="n"/>
      <c r="F18" s="11" t="n"/>
      <c r="G18" s="12">
        <f>"Concept &amp; Execution (0-"&amp;Setup!$B$7&amp;")"</f>
        <v/>
      </c>
      <c r="H18" s="13" t="n"/>
      <c r="I18" s="13" t="n"/>
      <c r="J18" s="13" t="n"/>
      <c r="K18" s="13" t="n"/>
      <c r="L18" s="13" t="n"/>
      <c r="M18" s="14" t="n"/>
    </row>
    <row r="19" ht="21" customHeight="1">
      <c r="A19" s="15" t="n">
        <v>1</v>
      </c>
      <c r="B19" s="16">
        <f>IF(0&lt;=Setup!$B$6,0,"")</f>
        <v/>
      </c>
      <c r="C19" s="17">
        <f>IF(1&lt;=Setup!$B$6,1,"")</f>
        <v/>
      </c>
      <c r="D19" s="17">
        <f>IF(2&lt;=Setup!$B$6,2,"")</f>
        <v/>
      </c>
      <c r="E19" s="17">
        <f>IF(3&lt;=Setup!$B$6,3,"")</f>
        <v/>
      </c>
      <c r="F19" s="17">
        <f>IF(4&lt;=Setup!$B$6,4,"")</f>
        <v/>
      </c>
      <c r="G19" s="18">
        <f>IF(0&lt;=Setup!$B$7,0,"")</f>
        <v/>
      </c>
      <c r="H19" s="19">
        <f>IF(1&lt;=Setup!$B$7,1,"")</f>
        <v/>
      </c>
      <c r="I19" s="19">
        <f>IF(2&lt;=Setup!$B$7,2,"")</f>
        <v/>
      </c>
      <c r="J19" s="19">
        <f>IF(3&lt;=Setup!$B$7,3,"")</f>
        <v/>
      </c>
      <c r="K19" s="19">
        <f>IF(4&lt;=Setup!$B$7,4,"")</f>
        <v/>
      </c>
      <c r="L19" s="19">
        <f>IF(5&lt;=Setup!$B$7,5,"")</f>
        <v/>
      </c>
      <c r="M19" s="20">
        <f>IF(6&lt;=Setup!$B$7,6,"")</f>
        <v/>
      </c>
    </row>
    <row r="20" ht="21" customHeight="1">
      <c r="A20" s="15" t="n">
        <v>2</v>
      </c>
      <c r="B20" s="16">
        <f>IF(0&lt;=Setup!$B$6,0,"")</f>
        <v/>
      </c>
      <c r="C20" s="17">
        <f>IF(1&lt;=Setup!$B$6,1,"")</f>
        <v/>
      </c>
      <c r="D20" s="17">
        <f>IF(2&lt;=Setup!$B$6,2,"")</f>
        <v/>
      </c>
      <c r="E20" s="17">
        <f>IF(3&lt;=Setup!$B$6,3,"")</f>
        <v/>
      </c>
      <c r="F20" s="17">
        <f>IF(4&lt;=Setup!$B$6,4,"")</f>
        <v/>
      </c>
      <c r="G20" s="18">
        <f>IF(0&lt;=Setup!$B$7,0,"")</f>
        <v/>
      </c>
      <c r="H20" s="19">
        <f>IF(1&lt;=Setup!$B$7,1,"")</f>
        <v/>
      </c>
      <c r="I20" s="19">
        <f>IF(2&lt;=Setup!$B$7,2,"")</f>
        <v/>
      </c>
      <c r="J20" s="19">
        <f>IF(3&lt;=Setup!$B$7,3,"")</f>
        <v/>
      </c>
      <c r="K20" s="19">
        <f>IF(4&lt;=Setup!$B$7,4,"")</f>
        <v/>
      </c>
      <c r="L20" s="19">
        <f>IF(5&lt;=Setup!$B$7,5,"")</f>
        <v/>
      </c>
      <c r="M20" s="20">
        <f>IF(6&lt;=Setup!$B$7,6,"")</f>
        <v/>
      </c>
    </row>
    <row r="21" ht="21" customHeight="1">
      <c r="A21" s="15" t="n">
        <v>3</v>
      </c>
      <c r="B21" s="16">
        <f>IF(0&lt;=Setup!$B$6,0,"")</f>
        <v/>
      </c>
      <c r="C21" s="17">
        <f>IF(1&lt;=Setup!$B$6,1,"")</f>
        <v/>
      </c>
      <c r="D21" s="17">
        <f>IF(2&lt;=Setup!$B$6,2,"")</f>
        <v/>
      </c>
      <c r="E21" s="17">
        <f>IF(3&lt;=Setup!$B$6,3,"")</f>
        <v/>
      </c>
      <c r="F21" s="17">
        <f>IF(4&lt;=Setup!$B$6,4,"")</f>
        <v/>
      </c>
      <c r="G21" s="18">
        <f>IF(0&lt;=Setup!$B$7,0,"")</f>
        <v/>
      </c>
      <c r="H21" s="19">
        <f>IF(1&lt;=Setup!$B$7,1,"")</f>
        <v/>
      </c>
      <c r="I21" s="19">
        <f>IF(2&lt;=Setup!$B$7,2,"")</f>
        <v/>
      </c>
      <c r="J21" s="19">
        <f>IF(3&lt;=Setup!$B$7,3,"")</f>
        <v/>
      </c>
      <c r="K21" s="19">
        <f>IF(4&lt;=Setup!$B$7,4,"")</f>
        <v/>
      </c>
      <c r="L21" s="19">
        <f>IF(5&lt;=Setup!$B$7,5,"")</f>
        <v/>
      </c>
      <c r="M21" s="20">
        <f>IF(6&lt;=Setup!$B$7,6,"")</f>
        <v/>
      </c>
    </row>
    <row r="22" ht="21" customHeight="1">
      <c r="A22" s="15" t="n">
        <v>4</v>
      </c>
      <c r="B22" s="16">
        <f>IF(0&lt;=Setup!$B$6,0,"")</f>
        <v/>
      </c>
      <c r="C22" s="17">
        <f>IF(1&lt;=Setup!$B$6,1,"")</f>
        <v/>
      </c>
      <c r="D22" s="17">
        <f>IF(2&lt;=Setup!$B$6,2,"")</f>
        <v/>
      </c>
      <c r="E22" s="17">
        <f>IF(3&lt;=Setup!$B$6,3,"")</f>
        <v/>
      </c>
      <c r="F22" s="17">
        <f>IF(4&lt;=Setup!$B$6,4,"")</f>
        <v/>
      </c>
      <c r="G22" s="18">
        <f>IF(0&lt;=Setup!$B$7,0,"")</f>
        <v/>
      </c>
      <c r="H22" s="19">
        <f>IF(1&lt;=Setup!$B$7,1,"")</f>
        <v/>
      </c>
      <c r="I22" s="19">
        <f>IF(2&lt;=Setup!$B$7,2,"")</f>
        <v/>
      </c>
      <c r="J22" s="19">
        <f>IF(3&lt;=Setup!$B$7,3,"")</f>
        <v/>
      </c>
      <c r="K22" s="19">
        <f>IF(4&lt;=Setup!$B$7,4,"")</f>
        <v/>
      </c>
      <c r="L22" s="19">
        <f>IF(5&lt;=Setup!$B$7,5,"")</f>
        <v/>
      </c>
      <c r="M22" s="20">
        <f>IF(6&lt;=Setup!$B$7,6,"")</f>
        <v/>
      </c>
    </row>
    <row r="23" ht="21" customHeight="1">
      <c r="A23" s="21" t="n">
        <v>5</v>
      </c>
      <c r="B23" s="22">
        <f>IF(0&lt;=Setup!$B$6,0,"")</f>
        <v/>
      </c>
      <c r="C23" s="23">
        <f>IF(1&lt;=Setup!$B$6,1,"")</f>
        <v/>
      </c>
      <c r="D23" s="23">
        <f>IF(2&lt;=Setup!$B$6,2,"")</f>
        <v/>
      </c>
      <c r="E23" s="23">
        <f>IF(3&lt;=Setup!$B$6,3,"")</f>
        <v/>
      </c>
      <c r="F23" s="23">
        <f>IF(4&lt;=Setup!$B$6,4,"")</f>
        <v/>
      </c>
      <c r="G23" s="24">
        <f>IF(0&lt;=Setup!$B$7,0,"")</f>
        <v/>
      </c>
      <c r="H23" s="25">
        <f>IF(1&lt;=Setup!$B$7,1,"")</f>
        <v/>
      </c>
      <c r="I23" s="25">
        <f>IF(2&lt;=Setup!$B$7,2,"")</f>
        <v/>
      </c>
      <c r="J23" s="25">
        <f>IF(3&lt;=Setup!$B$7,3,"")</f>
        <v/>
      </c>
      <c r="K23" s="25">
        <f>IF(4&lt;=Setup!$B$7,4,"")</f>
        <v/>
      </c>
      <c r="L23" s="25">
        <f>IF(5&lt;=Setup!$B$7,5,"")</f>
        <v/>
      </c>
      <c r="M23" s="26">
        <f>IF(6&lt;=Setup!$B$7,6,"")</f>
        <v/>
      </c>
    </row>
    <row r="24" ht="10" customHeight="1">
      <c r="A24" s="27" t="inlineStr">
        <is>
          <t>✂  - - - - - - - - - - - - - - - - - - - - - - - - - - - - - - - - - - - - - - - - - - - - - -   cut here</t>
        </is>
      </c>
    </row>
    <row r="25" ht="20" customHeight="1">
      <c r="A25" s="8">
        <f>IF(Setup!$B$3="Single-unknown","SINGLE-UNKNOWN  —  Total 5 pts   (circle one per column)","MULTI-STEP / MULTI-UNKNOWN  —  Total 10 pts   (circle one per column)")</f>
        <v/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 ht="15" customHeight="1">
      <c r="A26" s="9" t="inlineStr">
        <is>
          <t>Prob</t>
        </is>
      </c>
      <c r="B26" s="10">
        <f>"Final Answer (0-"&amp;Setup!$B$6&amp;")"</f>
        <v/>
      </c>
      <c r="C26" s="11" t="n"/>
      <c r="D26" s="11" t="n"/>
      <c r="E26" s="11" t="n"/>
      <c r="F26" s="11" t="n"/>
      <c r="G26" s="12">
        <f>"Concept &amp; Execution (0-"&amp;Setup!$B$7&amp;")"</f>
        <v/>
      </c>
      <c r="H26" s="13" t="n"/>
      <c r="I26" s="13" t="n"/>
      <c r="J26" s="13" t="n"/>
      <c r="K26" s="13" t="n"/>
      <c r="L26" s="13" t="n"/>
      <c r="M26" s="14" t="n"/>
    </row>
    <row r="27" ht="21" customHeight="1">
      <c r="A27" s="15" t="n">
        <v>1</v>
      </c>
      <c r="B27" s="16">
        <f>IF(0&lt;=Setup!$B$6,0,"")</f>
        <v/>
      </c>
      <c r="C27" s="17">
        <f>IF(1&lt;=Setup!$B$6,1,"")</f>
        <v/>
      </c>
      <c r="D27" s="17">
        <f>IF(2&lt;=Setup!$B$6,2,"")</f>
        <v/>
      </c>
      <c r="E27" s="17">
        <f>IF(3&lt;=Setup!$B$6,3,"")</f>
        <v/>
      </c>
      <c r="F27" s="17">
        <f>IF(4&lt;=Setup!$B$6,4,"")</f>
        <v/>
      </c>
      <c r="G27" s="18">
        <f>IF(0&lt;=Setup!$B$7,0,"")</f>
        <v/>
      </c>
      <c r="H27" s="19">
        <f>IF(1&lt;=Setup!$B$7,1,"")</f>
        <v/>
      </c>
      <c r="I27" s="19">
        <f>IF(2&lt;=Setup!$B$7,2,"")</f>
        <v/>
      </c>
      <c r="J27" s="19">
        <f>IF(3&lt;=Setup!$B$7,3,"")</f>
        <v/>
      </c>
      <c r="K27" s="19">
        <f>IF(4&lt;=Setup!$B$7,4,"")</f>
        <v/>
      </c>
      <c r="L27" s="19">
        <f>IF(5&lt;=Setup!$B$7,5,"")</f>
        <v/>
      </c>
      <c r="M27" s="20">
        <f>IF(6&lt;=Setup!$B$7,6,"")</f>
        <v/>
      </c>
    </row>
    <row r="28" ht="21" customHeight="1">
      <c r="A28" s="15" t="n">
        <v>2</v>
      </c>
      <c r="B28" s="16">
        <f>IF(0&lt;=Setup!$B$6,0,"")</f>
        <v/>
      </c>
      <c r="C28" s="17">
        <f>IF(1&lt;=Setup!$B$6,1,"")</f>
        <v/>
      </c>
      <c r="D28" s="17">
        <f>IF(2&lt;=Setup!$B$6,2,"")</f>
        <v/>
      </c>
      <c r="E28" s="17">
        <f>IF(3&lt;=Setup!$B$6,3,"")</f>
        <v/>
      </c>
      <c r="F28" s="17">
        <f>IF(4&lt;=Setup!$B$6,4,"")</f>
        <v/>
      </c>
      <c r="G28" s="18">
        <f>IF(0&lt;=Setup!$B$7,0,"")</f>
        <v/>
      </c>
      <c r="H28" s="19">
        <f>IF(1&lt;=Setup!$B$7,1,"")</f>
        <v/>
      </c>
      <c r="I28" s="19">
        <f>IF(2&lt;=Setup!$B$7,2,"")</f>
        <v/>
      </c>
      <c r="J28" s="19">
        <f>IF(3&lt;=Setup!$B$7,3,"")</f>
        <v/>
      </c>
      <c r="K28" s="19">
        <f>IF(4&lt;=Setup!$B$7,4,"")</f>
        <v/>
      </c>
      <c r="L28" s="19">
        <f>IF(5&lt;=Setup!$B$7,5,"")</f>
        <v/>
      </c>
      <c r="M28" s="20">
        <f>IF(6&lt;=Setup!$B$7,6,"")</f>
        <v/>
      </c>
    </row>
    <row r="29" ht="21" customHeight="1">
      <c r="A29" s="15" t="n">
        <v>3</v>
      </c>
      <c r="B29" s="16">
        <f>IF(0&lt;=Setup!$B$6,0,"")</f>
        <v/>
      </c>
      <c r="C29" s="17">
        <f>IF(1&lt;=Setup!$B$6,1,"")</f>
        <v/>
      </c>
      <c r="D29" s="17">
        <f>IF(2&lt;=Setup!$B$6,2,"")</f>
        <v/>
      </c>
      <c r="E29" s="17">
        <f>IF(3&lt;=Setup!$B$6,3,"")</f>
        <v/>
      </c>
      <c r="F29" s="17">
        <f>IF(4&lt;=Setup!$B$6,4,"")</f>
        <v/>
      </c>
      <c r="G29" s="18">
        <f>IF(0&lt;=Setup!$B$7,0,"")</f>
        <v/>
      </c>
      <c r="H29" s="19">
        <f>IF(1&lt;=Setup!$B$7,1,"")</f>
        <v/>
      </c>
      <c r="I29" s="19">
        <f>IF(2&lt;=Setup!$B$7,2,"")</f>
        <v/>
      </c>
      <c r="J29" s="19">
        <f>IF(3&lt;=Setup!$B$7,3,"")</f>
        <v/>
      </c>
      <c r="K29" s="19">
        <f>IF(4&lt;=Setup!$B$7,4,"")</f>
        <v/>
      </c>
      <c r="L29" s="19">
        <f>IF(5&lt;=Setup!$B$7,5,"")</f>
        <v/>
      </c>
      <c r="M29" s="20">
        <f>IF(6&lt;=Setup!$B$7,6,"")</f>
        <v/>
      </c>
    </row>
    <row r="30" ht="21" customHeight="1">
      <c r="A30" s="15" t="n">
        <v>4</v>
      </c>
      <c r="B30" s="16">
        <f>IF(0&lt;=Setup!$B$6,0,"")</f>
        <v/>
      </c>
      <c r="C30" s="17">
        <f>IF(1&lt;=Setup!$B$6,1,"")</f>
        <v/>
      </c>
      <c r="D30" s="17">
        <f>IF(2&lt;=Setup!$B$6,2,"")</f>
        <v/>
      </c>
      <c r="E30" s="17">
        <f>IF(3&lt;=Setup!$B$6,3,"")</f>
        <v/>
      </c>
      <c r="F30" s="17">
        <f>IF(4&lt;=Setup!$B$6,4,"")</f>
        <v/>
      </c>
      <c r="G30" s="18">
        <f>IF(0&lt;=Setup!$B$7,0,"")</f>
        <v/>
      </c>
      <c r="H30" s="19">
        <f>IF(1&lt;=Setup!$B$7,1,"")</f>
        <v/>
      </c>
      <c r="I30" s="19">
        <f>IF(2&lt;=Setup!$B$7,2,"")</f>
        <v/>
      </c>
      <c r="J30" s="19">
        <f>IF(3&lt;=Setup!$B$7,3,"")</f>
        <v/>
      </c>
      <c r="K30" s="19">
        <f>IF(4&lt;=Setup!$B$7,4,"")</f>
        <v/>
      </c>
      <c r="L30" s="19">
        <f>IF(5&lt;=Setup!$B$7,5,"")</f>
        <v/>
      </c>
      <c r="M30" s="20">
        <f>IF(6&lt;=Setup!$B$7,6,"")</f>
        <v/>
      </c>
    </row>
    <row r="31" ht="21" customHeight="1">
      <c r="A31" s="21" t="n">
        <v>5</v>
      </c>
      <c r="B31" s="22">
        <f>IF(0&lt;=Setup!$B$6,0,"")</f>
        <v/>
      </c>
      <c r="C31" s="23">
        <f>IF(1&lt;=Setup!$B$6,1,"")</f>
        <v/>
      </c>
      <c r="D31" s="23">
        <f>IF(2&lt;=Setup!$B$6,2,"")</f>
        <v/>
      </c>
      <c r="E31" s="23">
        <f>IF(3&lt;=Setup!$B$6,3,"")</f>
        <v/>
      </c>
      <c r="F31" s="23">
        <f>IF(4&lt;=Setup!$B$6,4,"")</f>
        <v/>
      </c>
      <c r="G31" s="24">
        <f>IF(0&lt;=Setup!$B$7,0,"")</f>
        <v/>
      </c>
      <c r="H31" s="25">
        <f>IF(1&lt;=Setup!$B$7,1,"")</f>
        <v/>
      </c>
      <c r="I31" s="25">
        <f>IF(2&lt;=Setup!$B$7,2,"")</f>
        <v/>
      </c>
      <c r="J31" s="25">
        <f>IF(3&lt;=Setup!$B$7,3,"")</f>
        <v/>
      </c>
      <c r="K31" s="25">
        <f>IF(4&lt;=Setup!$B$7,4,"")</f>
        <v/>
      </c>
      <c r="L31" s="25">
        <f>IF(5&lt;=Setup!$B$7,5,"")</f>
        <v/>
      </c>
      <c r="M31" s="26">
        <f>IF(6&lt;=Setup!$B$7,6,"")</f>
        <v/>
      </c>
    </row>
    <row r="32" ht="10" customHeight="1">
      <c r="A32" s="27" t="inlineStr">
        <is>
          <t>✂  - - - - - - - - - - - - - - - - - - - - - - - - - - - - - - - - - - - - - - - - - - - - - -   cut here</t>
        </is>
      </c>
    </row>
    <row r="33" ht="20" customHeight="1">
      <c r="A33" s="8">
        <f>IF(Setup!$B$3="Single-unknown","SINGLE-UNKNOWN  —  Total 5 pts   (circle one per column)","MULTI-STEP / MULTI-UNKNOWN  —  Total 10 pts   (circle one per column)")</f>
        <v/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 ht="15" customHeight="1">
      <c r="A34" s="9" t="inlineStr">
        <is>
          <t>Prob</t>
        </is>
      </c>
      <c r="B34" s="10">
        <f>"Final Answer (0-"&amp;Setup!$B$6&amp;")"</f>
        <v/>
      </c>
      <c r="C34" s="11" t="n"/>
      <c r="D34" s="11" t="n"/>
      <c r="E34" s="11" t="n"/>
      <c r="F34" s="11" t="n"/>
      <c r="G34" s="12">
        <f>"Concept &amp; Execution (0-"&amp;Setup!$B$7&amp;")"</f>
        <v/>
      </c>
      <c r="H34" s="13" t="n"/>
      <c r="I34" s="13" t="n"/>
      <c r="J34" s="13" t="n"/>
      <c r="K34" s="13" t="n"/>
      <c r="L34" s="13" t="n"/>
      <c r="M34" s="14" t="n"/>
    </row>
    <row r="35" ht="21" customHeight="1">
      <c r="A35" s="15" t="n">
        <v>1</v>
      </c>
      <c r="B35" s="16">
        <f>IF(0&lt;=Setup!$B$6,0,"")</f>
        <v/>
      </c>
      <c r="C35" s="17">
        <f>IF(1&lt;=Setup!$B$6,1,"")</f>
        <v/>
      </c>
      <c r="D35" s="17">
        <f>IF(2&lt;=Setup!$B$6,2,"")</f>
        <v/>
      </c>
      <c r="E35" s="17">
        <f>IF(3&lt;=Setup!$B$6,3,"")</f>
        <v/>
      </c>
      <c r="F35" s="17">
        <f>IF(4&lt;=Setup!$B$6,4,"")</f>
        <v/>
      </c>
      <c r="G35" s="18">
        <f>IF(0&lt;=Setup!$B$7,0,"")</f>
        <v/>
      </c>
      <c r="H35" s="19">
        <f>IF(1&lt;=Setup!$B$7,1,"")</f>
        <v/>
      </c>
      <c r="I35" s="19">
        <f>IF(2&lt;=Setup!$B$7,2,"")</f>
        <v/>
      </c>
      <c r="J35" s="19">
        <f>IF(3&lt;=Setup!$B$7,3,"")</f>
        <v/>
      </c>
      <c r="K35" s="19">
        <f>IF(4&lt;=Setup!$B$7,4,"")</f>
        <v/>
      </c>
      <c r="L35" s="19">
        <f>IF(5&lt;=Setup!$B$7,5,"")</f>
        <v/>
      </c>
      <c r="M35" s="20">
        <f>IF(6&lt;=Setup!$B$7,6,"")</f>
        <v/>
      </c>
    </row>
    <row r="36" ht="21" customHeight="1">
      <c r="A36" s="15" t="n">
        <v>2</v>
      </c>
      <c r="B36" s="16">
        <f>IF(0&lt;=Setup!$B$6,0,"")</f>
        <v/>
      </c>
      <c r="C36" s="17">
        <f>IF(1&lt;=Setup!$B$6,1,"")</f>
        <v/>
      </c>
      <c r="D36" s="17">
        <f>IF(2&lt;=Setup!$B$6,2,"")</f>
        <v/>
      </c>
      <c r="E36" s="17">
        <f>IF(3&lt;=Setup!$B$6,3,"")</f>
        <v/>
      </c>
      <c r="F36" s="17">
        <f>IF(4&lt;=Setup!$B$6,4,"")</f>
        <v/>
      </c>
      <c r="G36" s="18">
        <f>IF(0&lt;=Setup!$B$7,0,"")</f>
        <v/>
      </c>
      <c r="H36" s="19">
        <f>IF(1&lt;=Setup!$B$7,1,"")</f>
        <v/>
      </c>
      <c r="I36" s="19">
        <f>IF(2&lt;=Setup!$B$7,2,"")</f>
        <v/>
      </c>
      <c r="J36" s="19">
        <f>IF(3&lt;=Setup!$B$7,3,"")</f>
        <v/>
      </c>
      <c r="K36" s="19">
        <f>IF(4&lt;=Setup!$B$7,4,"")</f>
        <v/>
      </c>
      <c r="L36" s="19">
        <f>IF(5&lt;=Setup!$B$7,5,"")</f>
        <v/>
      </c>
      <c r="M36" s="20">
        <f>IF(6&lt;=Setup!$B$7,6,"")</f>
        <v/>
      </c>
    </row>
    <row r="37" ht="21" customHeight="1">
      <c r="A37" s="15" t="n">
        <v>3</v>
      </c>
      <c r="B37" s="16">
        <f>IF(0&lt;=Setup!$B$6,0,"")</f>
        <v/>
      </c>
      <c r="C37" s="17">
        <f>IF(1&lt;=Setup!$B$6,1,"")</f>
        <v/>
      </c>
      <c r="D37" s="17">
        <f>IF(2&lt;=Setup!$B$6,2,"")</f>
        <v/>
      </c>
      <c r="E37" s="17">
        <f>IF(3&lt;=Setup!$B$6,3,"")</f>
        <v/>
      </c>
      <c r="F37" s="17">
        <f>IF(4&lt;=Setup!$B$6,4,"")</f>
        <v/>
      </c>
      <c r="G37" s="18">
        <f>IF(0&lt;=Setup!$B$7,0,"")</f>
        <v/>
      </c>
      <c r="H37" s="19">
        <f>IF(1&lt;=Setup!$B$7,1,"")</f>
        <v/>
      </c>
      <c r="I37" s="19">
        <f>IF(2&lt;=Setup!$B$7,2,"")</f>
        <v/>
      </c>
      <c r="J37" s="19">
        <f>IF(3&lt;=Setup!$B$7,3,"")</f>
        <v/>
      </c>
      <c r="K37" s="19">
        <f>IF(4&lt;=Setup!$B$7,4,"")</f>
        <v/>
      </c>
      <c r="L37" s="19">
        <f>IF(5&lt;=Setup!$B$7,5,"")</f>
        <v/>
      </c>
      <c r="M37" s="20">
        <f>IF(6&lt;=Setup!$B$7,6,"")</f>
        <v/>
      </c>
    </row>
    <row r="38" ht="21" customHeight="1">
      <c r="A38" s="15" t="n">
        <v>4</v>
      </c>
      <c r="B38" s="16">
        <f>IF(0&lt;=Setup!$B$6,0,"")</f>
        <v/>
      </c>
      <c r="C38" s="17">
        <f>IF(1&lt;=Setup!$B$6,1,"")</f>
        <v/>
      </c>
      <c r="D38" s="17">
        <f>IF(2&lt;=Setup!$B$6,2,"")</f>
        <v/>
      </c>
      <c r="E38" s="17">
        <f>IF(3&lt;=Setup!$B$6,3,"")</f>
        <v/>
      </c>
      <c r="F38" s="17">
        <f>IF(4&lt;=Setup!$B$6,4,"")</f>
        <v/>
      </c>
      <c r="G38" s="18">
        <f>IF(0&lt;=Setup!$B$7,0,"")</f>
        <v/>
      </c>
      <c r="H38" s="19">
        <f>IF(1&lt;=Setup!$B$7,1,"")</f>
        <v/>
      </c>
      <c r="I38" s="19">
        <f>IF(2&lt;=Setup!$B$7,2,"")</f>
        <v/>
      </c>
      <c r="J38" s="19">
        <f>IF(3&lt;=Setup!$B$7,3,"")</f>
        <v/>
      </c>
      <c r="K38" s="19">
        <f>IF(4&lt;=Setup!$B$7,4,"")</f>
        <v/>
      </c>
      <c r="L38" s="19">
        <f>IF(5&lt;=Setup!$B$7,5,"")</f>
        <v/>
      </c>
      <c r="M38" s="20">
        <f>IF(6&lt;=Setup!$B$7,6,"")</f>
        <v/>
      </c>
    </row>
    <row r="39" ht="21" customHeight="1">
      <c r="A39" s="21" t="n">
        <v>5</v>
      </c>
      <c r="B39" s="22">
        <f>IF(0&lt;=Setup!$B$6,0,"")</f>
        <v/>
      </c>
      <c r="C39" s="23">
        <f>IF(1&lt;=Setup!$B$6,1,"")</f>
        <v/>
      </c>
      <c r="D39" s="23">
        <f>IF(2&lt;=Setup!$B$6,2,"")</f>
        <v/>
      </c>
      <c r="E39" s="23">
        <f>IF(3&lt;=Setup!$B$6,3,"")</f>
        <v/>
      </c>
      <c r="F39" s="23">
        <f>IF(4&lt;=Setup!$B$6,4,"")</f>
        <v/>
      </c>
      <c r="G39" s="24">
        <f>IF(0&lt;=Setup!$B$7,0,"")</f>
        <v/>
      </c>
      <c r="H39" s="25">
        <f>IF(1&lt;=Setup!$B$7,1,"")</f>
        <v/>
      </c>
      <c r="I39" s="25">
        <f>IF(2&lt;=Setup!$B$7,2,"")</f>
        <v/>
      </c>
      <c r="J39" s="25">
        <f>IF(3&lt;=Setup!$B$7,3,"")</f>
        <v/>
      </c>
      <c r="K39" s="25">
        <f>IF(4&lt;=Setup!$B$7,4,"")</f>
        <v/>
      </c>
      <c r="L39" s="25">
        <f>IF(5&lt;=Setup!$B$7,5,"")</f>
        <v/>
      </c>
      <c r="M39" s="26">
        <f>IF(6&lt;=Setup!$B$7,6,"")</f>
        <v/>
      </c>
    </row>
    <row r="40" ht="10" customHeight="1">
      <c r="A40" s="27" t="inlineStr">
        <is>
          <t>✂  - - - - - - - - - - - - - - - - - - - - - - - - - - - - - - - - - - - - - - - - - - - - - -   cut here</t>
        </is>
      </c>
    </row>
    <row r="41" ht="20" customHeight="1">
      <c r="A41" s="8">
        <f>IF(Setup!$B$3="Single-unknown","SINGLE-UNKNOWN  —  Total 5 pts   (circle one per column)","MULTI-STEP / MULTI-UNKNOWN  —  Total 10 pts   (circle one per column)")</f>
        <v/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 ht="15" customHeight="1">
      <c r="A42" s="9" t="inlineStr">
        <is>
          <t>Prob</t>
        </is>
      </c>
      <c r="B42" s="10">
        <f>"Final Answer (0-"&amp;Setup!$B$6&amp;")"</f>
        <v/>
      </c>
      <c r="C42" s="11" t="n"/>
      <c r="D42" s="11" t="n"/>
      <c r="E42" s="11" t="n"/>
      <c r="F42" s="11" t="n"/>
      <c r="G42" s="12">
        <f>"Concept &amp; Execution (0-"&amp;Setup!$B$7&amp;")"</f>
        <v/>
      </c>
      <c r="H42" s="13" t="n"/>
      <c r="I42" s="13" t="n"/>
      <c r="J42" s="13" t="n"/>
      <c r="K42" s="13" t="n"/>
      <c r="L42" s="13" t="n"/>
      <c r="M42" s="14" t="n"/>
    </row>
    <row r="43" ht="21" customHeight="1">
      <c r="A43" s="15" t="n">
        <v>1</v>
      </c>
      <c r="B43" s="16">
        <f>IF(0&lt;=Setup!$B$6,0,"")</f>
        <v/>
      </c>
      <c r="C43" s="17">
        <f>IF(1&lt;=Setup!$B$6,1,"")</f>
        <v/>
      </c>
      <c r="D43" s="17">
        <f>IF(2&lt;=Setup!$B$6,2,"")</f>
        <v/>
      </c>
      <c r="E43" s="17">
        <f>IF(3&lt;=Setup!$B$6,3,"")</f>
        <v/>
      </c>
      <c r="F43" s="17">
        <f>IF(4&lt;=Setup!$B$6,4,"")</f>
        <v/>
      </c>
      <c r="G43" s="18">
        <f>IF(0&lt;=Setup!$B$7,0,"")</f>
        <v/>
      </c>
      <c r="H43" s="19">
        <f>IF(1&lt;=Setup!$B$7,1,"")</f>
        <v/>
      </c>
      <c r="I43" s="19">
        <f>IF(2&lt;=Setup!$B$7,2,"")</f>
        <v/>
      </c>
      <c r="J43" s="19">
        <f>IF(3&lt;=Setup!$B$7,3,"")</f>
        <v/>
      </c>
      <c r="K43" s="19">
        <f>IF(4&lt;=Setup!$B$7,4,"")</f>
        <v/>
      </c>
      <c r="L43" s="19">
        <f>IF(5&lt;=Setup!$B$7,5,"")</f>
        <v/>
      </c>
      <c r="M43" s="20">
        <f>IF(6&lt;=Setup!$B$7,6,"")</f>
        <v/>
      </c>
    </row>
    <row r="44" ht="21" customHeight="1">
      <c r="A44" s="15" t="n">
        <v>2</v>
      </c>
      <c r="B44" s="16">
        <f>IF(0&lt;=Setup!$B$6,0,"")</f>
        <v/>
      </c>
      <c r="C44" s="17">
        <f>IF(1&lt;=Setup!$B$6,1,"")</f>
        <v/>
      </c>
      <c r="D44" s="17">
        <f>IF(2&lt;=Setup!$B$6,2,"")</f>
        <v/>
      </c>
      <c r="E44" s="17">
        <f>IF(3&lt;=Setup!$B$6,3,"")</f>
        <v/>
      </c>
      <c r="F44" s="17">
        <f>IF(4&lt;=Setup!$B$6,4,"")</f>
        <v/>
      </c>
      <c r="G44" s="18">
        <f>IF(0&lt;=Setup!$B$7,0,"")</f>
        <v/>
      </c>
      <c r="H44" s="19">
        <f>IF(1&lt;=Setup!$B$7,1,"")</f>
        <v/>
      </c>
      <c r="I44" s="19">
        <f>IF(2&lt;=Setup!$B$7,2,"")</f>
        <v/>
      </c>
      <c r="J44" s="19">
        <f>IF(3&lt;=Setup!$B$7,3,"")</f>
        <v/>
      </c>
      <c r="K44" s="19">
        <f>IF(4&lt;=Setup!$B$7,4,"")</f>
        <v/>
      </c>
      <c r="L44" s="19">
        <f>IF(5&lt;=Setup!$B$7,5,"")</f>
        <v/>
      </c>
      <c r="M44" s="20">
        <f>IF(6&lt;=Setup!$B$7,6,"")</f>
        <v/>
      </c>
    </row>
    <row r="45" ht="21" customHeight="1">
      <c r="A45" s="15" t="n">
        <v>3</v>
      </c>
      <c r="B45" s="16">
        <f>IF(0&lt;=Setup!$B$6,0,"")</f>
        <v/>
      </c>
      <c r="C45" s="17">
        <f>IF(1&lt;=Setup!$B$6,1,"")</f>
        <v/>
      </c>
      <c r="D45" s="17">
        <f>IF(2&lt;=Setup!$B$6,2,"")</f>
        <v/>
      </c>
      <c r="E45" s="17">
        <f>IF(3&lt;=Setup!$B$6,3,"")</f>
        <v/>
      </c>
      <c r="F45" s="17">
        <f>IF(4&lt;=Setup!$B$6,4,"")</f>
        <v/>
      </c>
      <c r="G45" s="18">
        <f>IF(0&lt;=Setup!$B$7,0,"")</f>
        <v/>
      </c>
      <c r="H45" s="19">
        <f>IF(1&lt;=Setup!$B$7,1,"")</f>
        <v/>
      </c>
      <c r="I45" s="19">
        <f>IF(2&lt;=Setup!$B$7,2,"")</f>
        <v/>
      </c>
      <c r="J45" s="19">
        <f>IF(3&lt;=Setup!$B$7,3,"")</f>
        <v/>
      </c>
      <c r="K45" s="19">
        <f>IF(4&lt;=Setup!$B$7,4,"")</f>
        <v/>
      </c>
      <c r="L45" s="19">
        <f>IF(5&lt;=Setup!$B$7,5,"")</f>
        <v/>
      </c>
      <c r="M45" s="20">
        <f>IF(6&lt;=Setup!$B$7,6,"")</f>
        <v/>
      </c>
    </row>
    <row r="46" ht="21" customHeight="1">
      <c r="A46" s="15" t="n">
        <v>4</v>
      </c>
      <c r="B46" s="16">
        <f>IF(0&lt;=Setup!$B$6,0,"")</f>
        <v/>
      </c>
      <c r="C46" s="17">
        <f>IF(1&lt;=Setup!$B$6,1,"")</f>
        <v/>
      </c>
      <c r="D46" s="17">
        <f>IF(2&lt;=Setup!$B$6,2,"")</f>
        <v/>
      </c>
      <c r="E46" s="17">
        <f>IF(3&lt;=Setup!$B$6,3,"")</f>
        <v/>
      </c>
      <c r="F46" s="17">
        <f>IF(4&lt;=Setup!$B$6,4,"")</f>
        <v/>
      </c>
      <c r="G46" s="18">
        <f>IF(0&lt;=Setup!$B$7,0,"")</f>
        <v/>
      </c>
      <c r="H46" s="19">
        <f>IF(1&lt;=Setup!$B$7,1,"")</f>
        <v/>
      </c>
      <c r="I46" s="19">
        <f>IF(2&lt;=Setup!$B$7,2,"")</f>
        <v/>
      </c>
      <c r="J46" s="19">
        <f>IF(3&lt;=Setup!$B$7,3,"")</f>
        <v/>
      </c>
      <c r="K46" s="19">
        <f>IF(4&lt;=Setup!$B$7,4,"")</f>
        <v/>
      </c>
      <c r="L46" s="19">
        <f>IF(5&lt;=Setup!$B$7,5,"")</f>
        <v/>
      </c>
      <c r="M46" s="20">
        <f>IF(6&lt;=Setup!$B$7,6,"")</f>
        <v/>
      </c>
    </row>
    <row r="47" ht="21" customHeight="1">
      <c r="A47" s="21" t="n">
        <v>5</v>
      </c>
      <c r="B47" s="22">
        <f>IF(0&lt;=Setup!$B$6,0,"")</f>
        <v/>
      </c>
      <c r="C47" s="23">
        <f>IF(1&lt;=Setup!$B$6,1,"")</f>
        <v/>
      </c>
      <c r="D47" s="23">
        <f>IF(2&lt;=Setup!$B$6,2,"")</f>
        <v/>
      </c>
      <c r="E47" s="23">
        <f>IF(3&lt;=Setup!$B$6,3,"")</f>
        <v/>
      </c>
      <c r="F47" s="23">
        <f>IF(4&lt;=Setup!$B$6,4,"")</f>
        <v/>
      </c>
      <c r="G47" s="24">
        <f>IF(0&lt;=Setup!$B$7,0,"")</f>
        <v/>
      </c>
      <c r="H47" s="25">
        <f>IF(1&lt;=Setup!$B$7,1,"")</f>
        <v/>
      </c>
      <c r="I47" s="25">
        <f>IF(2&lt;=Setup!$B$7,2,"")</f>
        <v/>
      </c>
      <c r="J47" s="25">
        <f>IF(3&lt;=Setup!$B$7,3,"")</f>
        <v/>
      </c>
      <c r="K47" s="25">
        <f>IF(4&lt;=Setup!$B$7,4,"")</f>
        <v/>
      </c>
      <c r="L47" s="25">
        <f>IF(5&lt;=Setup!$B$7,5,"")</f>
        <v/>
      </c>
      <c r="M47" s="26">
        <f>IF(6&lt;=Setup!$B$7,6,"")</f>
        <v/>
      </c>
    </row>
  </sheetData>
  <mergeCells count="23">
    <mergeCell ref="A32:M32"/>
    <mergeCell ref="A8:M8"/>
    <mergeCell ref="G26:M26"/>
    <mergeCell ref="A33:M33"/>
    <mergeCell ref="A17:M17"/>
    <mergeCell ref="B18:F18"/>
    <mergeCell ref="B2:F2"/>
    <mergeCell ref="B42:F42"/>
    <mergeCell ref="A40:M40"/>
    <mergeCell ref="A9:M9"/>
    <mergeCell ref="G2:M2"/>
    <mergeCell ref="A24:M24"/>
    <mergeCell ref="G42:M42"/>
    <mergeCell ref="A1:M1"/>
    <mergeCell ref="B34:F34"/>
    <mergeCell ref="B10:F10"/>
    <mergeCell ref="A25:M25"/>
    <mergeCell ref="A41:M41"/>
    <mergeCell ref="A16:M16"/>
    <mergeCell ref="G10:M10"/>
    <mergeCell ref="G18:M18"/>
    <mergeCell ref="G34:M34"/>
    <mergeCell ref="B26:F26"/>
  </mergeCells>
  <printOptions horizontalCentered="1"/>
  <pageMargins left="0.3" right="0.3" top="0.3" bottom="0.3" header="0.1" footer="0.1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2026-08-10T14:00:36Z</dcterms:created>
  <dcterms:modified xsi:type="dcterms:W3CDTF">2026-08-10T14:00:36Z</dcterms:modified>
</cp:coreProperties>
</file>