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etup" sheetId="1" state="visible" r:id="rId1"/>
    <sheet name="Rubric" sheetId="2" state="visible" r:id="rId2"/>
    <sheet name="Rubric Guide"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sz val="14"/>
    </font>
    <font>
      <b val="1"/>
    </font>
    <font>
      <b val="1"/>
      <sz val="11"/>
    </font>
    <font>
      <i val="1"/>
      <color rgb="00808080"/>
      <sz val="9"/>
    </font>
    <font>
      <b val="1"/>
      <sz val="10"/>
    </font>
    <font>
      <color rgb="00808080"/>
      <sz val="10"/>
    </font>
    <font>
      <i val="1"/>
      <color rgb="00808080"/>
      <sz val="10"/>
    </font>
    <font>
      <b val="1"/>
      <sz val="9"/>
    </font>
    <font>
      <sz val="12"/>
    </font>
    <font>
      <b val="1"/>
      <color rgb="00FFFFFF"/>
      <sz val="11"/>
    </font>
    <font>
      <color rgb="00000000"/>
      <sz val="10"/>
    </font>
    <font>
      <sz val="10"/>
    </font>
  </fonts>
  <fills count="5">
    <fill>
      <patternFill/>
    </fill>
    <fill>
      <patternFill patternType="gray125"/>
    </fill>
    <fill>
      <patternFill patternType="solid">
        <fgColor rgb="00FFF2CC"/>
      </patternFill>
    </fill>
    <fill>
      <patternFill patternType="solid">
        <fgColor rgb="00D9D9D9"/>
      </patternFill>
    </fill>
    <fill>
      <patternFill patternType="solid">
        <fgColor rgb="00595959"/>
      </patternFill>
    </fill>
  </fills>
  <borders count="5">
    <border>
      <left/>
      <right/>
      <top/>
      <bottom/>
      <diagonal/>
    </border>
    <border>
      <left style="thin">
        <color rgb="00808080"/>
      </left>
      <right style="thin">
        <color rgb="00808080"/>
      </right>
      <top style="thin">
        <color rgb="00808080"/>
      </top>
      <bottom style="thin">
        <color rgb="00808080"/>
      </bottom>
    </border>
    <border>
      <bottom style="medium">
        <color rgb="00404040"/>
      </bottom>
    </border>
    <border>
      <bottom style="thin">
        <color rgb="00808080"/>
      </bottom>
    </border>
    <border>
      <bottom style="dashed">
        <color rgb="007F7F7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indent="1"/>
    </xf>
    <xf numFmtId="0" fontId="4" fillId="0" borderId="0" pivotButton="0" quotePrefix="0" xfId="0"/>
    <xf numFmtId="0" fontId="5" fillId="3" borderId="1" applyAlignment="1" pivotButton="0" quotePrefix="0" xfId="0">
      <alignment horizontal="center" vertical="center" wrapText="1"/>
    </xf>
    <xf numFmtId="0" fontId="2" fillId="3" borderId="1" applyAlignment="1" pivotButton="0" quotePrefix="0" xfId="0">
      <alignment horizontal="center"/>
    </xf>
    <xf numFmtId="0" fontId="0" fillId="0" borderId="1" applyAlignment="1" pivotButton="0" quotePrefix="0" xfId="0">
      <alignment horizontal="center" vertical="center"/>
    </xf>
    <xf numFmtId="0" fontId="6" fillId="0" borderId="1" applyAlignment="1" pivotButton="0" quotePrefix="0" xfId="0">
      <alignment horizontal="center"/>
    </xf>
    <xf numFmtId="0" fontId="7" fillId="0" borderId="0" applyAlignment="1" pivotButton="0" quotePrefix="0" xfId="0">
      <alignment vertical="top" wrapText="1"/>
    </xf>
    <xf numFmtId="0" fontId="3" fillId="0" borderId="2" applyAlignment="1" pivotButton="0" quotePrefix="0" xfId="0">
      <alignment horizontal="left" vertical="center"/>
    </xf>
    <xf numFmtId="0" fontId="0" fillId="0" borderId="2" pivotButton="0" quotePrefix="0" xfId="0"/>
    <xf numFmtId="0" fontId="8" fillId="3" borderId="3" applyAlignment="1" pivotButton="0" quotePrefix="0" xfId="0">
      <alignment horizontal="center" vertical="center"/>
    </xf>
    <xf numFmtId="0" fontId="0" fillId="3" borderId="3" pivotButton="0" quotePrefix="0" xfId="0"/>
    <xf numFmtId="0" fontId="3" fillId="3" borderId="0" applyAlignment="1" pivotButton="0" quotePrefix="0" xfId="0">
      <alignment horizontal="center" vertical="center"/>
    </xf>
    <xf numFmtId="0" fontId="9" fillId="0" borderId="0" applyAlignment="1" pivotButton="0" quotePrefix="0" xfId="0">
      <alignment horizontal="center" vertical="center"/>
    </xf>
    <xf numFmtId="0" fontId="5" fillId="0" borderId="0" applyAlignment="1" pivotButton="0" quotePrefix="0" xfId="0">
      <alignment horizontal="right" vertical="center"/>
    </xf>
    <xf numFmtId="0" fontId="0" fillId="3" borderId="1" applyAlignment="1" pivotButton="0" quotePrefix="0" xfId="0">
      <alignment horizontal="center" vertical="center"/>
    </xf>
    <xf numFmtId="0" fontId="0" fillId="0" borderId="4" pivotButton="0" quotePrefix="0" xfId="0"/>
    <xf numFmtId="0" fontId="10" fillId="4" borderId="0" applyAlignment="1" pivotButton="0" quotePrefix="0" xfId="0">
      <alignment vertical="center" indent="1"/>
    </xf>
    <xf numFmtId="0" fontId="0" fillId="4" borderId="0" pivotButton="0" quotePrefix="0" xfId="0"/>
    <xf numFmtId="0" fontId="11" fillId="0" borderId="0" applyAlignment="1" pivotButton="0" quotePrefix="0" xfId="0">
      <alignment vertical="top" wrapText="1"/>
    </xf>
    <xf numFmtId="0" fontId="5" fillId="3" borderId="1" applyAlignment="1" pivotButton="0" quotePrefix="0" xfId="0">
      <alignment horizontal="center" vertical="center"/>
    </xf>
    <xf numFmtId="0" fontId="5" fillId="3" borderId="1" applyAlignment="1" pivotButton="0" quotePrefix="0" xfId="0">
      <alignment horizontal="left" vertical="center" indent="1"/>
    </xf>
    <xf numFmtId="0" fontId="3" fillId="0" borderId="1" applyAlignment="1" pivotButton="0" quotePrefix="0" xfId="0">
      <alignment horizontal="center" vertical="center"/>
    </xf>
    <xf numFmtId="0" fontId="12" fillId="0" borderId="1"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6" customWidth="1" min="1" max="1"/>
    <col width="24" customWidth="1" min="2" max="2"/>
    <col width="15" customWidth="1" min="3" max="3"/>
    <col width="12" customWidth="1" min="4" max="4"/>
    <col width="9" customWidth="1" min="5" max="5"/>
  </cols>
  <sheetData>
    <row r="1" ht="22" customHeight="1">
      <c r="A1" s="1" t="inlineStr">
        <is>
          <t>RUBRIC SETUP</t>
        </is>
      </c>
    </row>
    <row r="3">
      <c r="A3" s="2" t="inlineStr">
        <is>
          <t>Subject:</t>
        </is>
      </c>
      <c r="B3" s="3" t="inlineStr">
        <is>
          <t>Physics 1</t>
        </is>
      </c>
      <c r="D3" s="4" t="inlineStr">
        <is>
          <t>(shown on every slip as)</t>
        </is>
      </c>
    </row>
    <row r="4">
      <c r="A4" s="2" t="inlineStr">
        <is>
          <t>Problem Set No.:</t>
        </is>
      </c>
      <c r="B4" s="3" t="n">
        <v>1</v>
      </c>
      <c r="D4" s="4">
        <f>B3&amp;"  •  Rubric: Problem Set "&amp;B4</f>
        <v/>
      </c>
    </row>
    <row r="6" ht="26" customHeight="1">
      <c r="A6" s="5" t="inlineStr">
        <is>
          <t>Problem</t>
        </is>
      </c>
      <c r="B6" s="5" t="inlineStr">
        <is>
          <t>Type</t>
        </is>
      </c>
      <c r="C6" s="5" t="inlineStr">
        <is>
          <t>Final Ans. max</t>
        </is>
      </c>
      <c r="D6" s="5" t="inlineStr">
        <is>
          <t>C&amp;E max</t>
        </is>
      </c>
      <c r="E6" s="5" t="inlineStr">
        <is>
          <t>Total</t>
        </is>
      </c>
    </row>
    <row r="7" ht="18" customHeight="1">
      <c r="A7" s="6" t="n">
        <v>1</v>
      </c>
      <c r="B7" s="7" t="inlineStr">
        <is>
          <t>Single-unknown</t>
        </is>
      </c>
      <c r="C7" s="8">
        <f>IF(B7="Single-unknown",2,4)</f>
        <v/>
      </c>
      <c r="D7" s="8">
        <f>IF(B7="Single-unknown",3,6)</f>
        <v/>
      </c>
      <c r="E7" s="8">
        <f>IF(B7="Single-unknown",5,10)</f>
        <v/>
      </c>
    </row>
    <row r="8" ht="18" customHeight="1">
      <c r="A8" s="6" t="n">
        <v>2</v>
      </c>
      <c r="B8" s="7" t="inlineStr">
        <is>
          <t>Single-unknown</t>
        </is>
      </c>
      <c r="C8" s="8">
        <f>IF(B8="Single-unknown",2,4)</f>
        <v/>
      </c>
      <c r="D8" s="8">
        <f>IF(B8="Single-unknown",3,6)</f>
        <v/>
      </c>
      <c r="E8" s="8">
        <f>IF(B8="Single-unknown",5,10)</f>
        <v/>
      </c>
    </row>
    <row r="9" ht="18" customHeight="1">
      <c r="A9" s="6" t="n">
        <v>3</v>
      </c>
      <c r="B9" s="7" t="inlineStr">
        <is>
          <t>Single-unknown</t>
        </is>
      </c>
      <c r="C9" s="8">
        <f>IF(B9="Single-unknown",2,4)</f>
        <v/>
      </c>
      <c r="D9" s="8">
        <f>IF(B9="Single-unknown",3,6)</f>
        <v/>
      </c>
      <c r="E9" s="8">
        <f>IF(B9="Single-unknown",5,10)</f>
        <v/>
      </c>
    </row>
    <row r="10" ht="18" customHeight="1">
      <c r="A10" s="6" t="n">
        <v>4</v>
      </c>
      <c r="B10" s="7" t="inlineStr">
        <is>
          <t>Single-unknown</t>
        </is>
      </c>
      <c r="C10" s="8">
        <f>IF(B10="Single-unknown",2,4)</f>
        <v/>
      </c>
      <c r="D10" s="8">
        <f>IF(B10="Single-unknown",3,6)</f>
        <v/>
      </c>
      <c r="E10" s="8">
        <f>IF(B10="Single-unknown",5,10)</f>
        <v/>
      </c>
    </row>
    <row r="11" ht="18" customHeight="1">
      <c r="A11" s="6" t="n">
        <v>5</v>
      </c>
      <c r="B11" s="7" t="inlineStr">
        <is>
          <t>Single-unknown</t>
        </is>
      </c>
      <c r="C11" s="8">
        <f>IF(B11="Single-unknown",2,4)</f>
        <v/>
      </c>
      <c r="D11" s="8">
        <f>IF(B11="Single-unknown",3,6)</f>
        <v/>
      </c>
      <c r="E11" s="8">
        <f>IF(B11="Single-unknown",5,10)</f>
        <v/>
      </c>
    </row>
    <row r="13">
      <c r="A13" s="9" t="inlineStr">
        <is>
          <t>Fill in Subject and Problem Set No. above, set each problem's type, then print the Rubric sheet: it prints 6 identical slips on one A4 page. Cut along the dashed lines. On each slip, circle one number per column for every problem, write the problem score in the Score box, and the sum in the Total box. See the 'Rubric Guide' sheet for what each score means.</t>
        </is>
      </c>
    </row>
    <row r="14"/>
    <row r="15"/>
    <row r="16"/>
    <row r="17"/>
  </sheetData>
  <mergeCells count="4">
    <mergeCell ref="A13:E17"/>
    <mergeCell ref="D3:E3"/>
    <mergeCell ref="A1:E1"/>
    <mergeCell ref="D4:E4"/>
  </mergeCells>
  <dataValidations count="1">
    <dataValidation sqref="B7:B11" showDropDown="0" showInputMessage="0" showErrorMessage="0" allowBlank="0" promptTitle="Problem type" prompt="Pick this problem's type. The Rubric sheet updates automatically." type="list">
      <formula1>"Single-unknown,Multi-step / Multi-unknown"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N53"/>
  <sheetViews>
    <sheetView workbookViewId="0">
      <selection activeCell="A1" sqref="A1"/>
    </sheetView>
  </sheetViews>
  <sheetFormatPr baseColWidth="8" defaultRowHeight="15"/>
  <cols>
    <col width="6"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7.5" customWidth="1" min="14" max="14"/>
  </cols>
  <sheetData>
    <row r="1" ht="19" customHeight="1">
      <c r="A1" s="10">
        <f>Setup!$B$3&amp;"  •  Rubric: Problem Set "&amp;Setup!$B$4</f>
        <v/>
      </c>
      <c r="B1" s="11" t="n"/>
      <c r="C1" s="11" t="n"/>
      <c r="D1" s="11" t="n"/>
      <c r="E1" s="11" t="n"/>
      <c r="F1" s="11" t="n"/>
      <c r="G1" s="11" t="n"/>
      <c r="H1" s="11" t="n"/>
      <c r="I1" s="11" t="n"/>
      <c r="J1" s="11" t="n"/>
      <c r="K1" s="11" t="n"/>
      <c r="L1" s="11" t="n"/>
      <c r="M1" s="11" t="n"/>
      <c r="N1" s="11" t="n"/>
    </row>
    <row r="2" ht="15" customHeight="1">
      <c r="A2" s="12" t="inlineStr">
        <is>
          <t>Prob</t>
        </is>
      </c>
      <c r="B2" s="12" t="inlineStr">
        <is>
          <t>Final Answer</t>
        </is>
      </c>
      <c r="C2" s="13" t="n"/>
      <c r="D2" s="13" t="n"/>
      <c r="E2" s="13" t="n"/>
      <c r="F2" s="13" t="n"/>
      <c r="G2" s="12" t="inlineStr">
        <is>
          <t>Concept &amp; Execution</t>
        </is>
      </c>
      <c r="H2" s="13" t="n"/>
      <c r="I2" s="13" t="n"/>
      <c r="J2" s="13" t="n"/>
      <c r="K2" s="13" t="n"/>
      <c r="L2" s="13" t="n"/>
      <c r="M2" s="13" t="n"/>
      <c r="N2" s="12" t="inlineStr">
        <is>
          <t>Score</t>
        </is>
      </c>
    </row>
    <row r="3" ht="22" customHeight="1">
      <c r="A3" s="14" t="n">
        <v>1</v>
      </c>
      <c r="B3" s="15">
        <f>IF(0&lt;=Setup!$C$7,0,"")</f>
        <v/>
      </c>
      <c r="C3" s="15">
        <f>IF(1&lt;=Setup!$C$7,1,"")</f>
        <v/>
      </c>
      <c r="D3" s="15">
        <f>IF(2&lt;=Setup!$C$7,2,"")</f>
        <v/>
      </c>
      <c r="E3" s="15">
        <f>IF(3&lt;=Setup!$C$7,3,"")</f>
        <v/>
      </c>
      <c r="F3" s="15">
        <f>IF(4&lt;=Setup!$C$7,4,"")</f>
        <v/>
      </c>
      <c r="G3" s="15">
        <f>IF(0&lt;=Setup!$D$7,0,"")</f>
        <v/>
      </c>
      <c r="H3" s="15">
        <f>IF(1&lt;=Setup!$D$7,1,"")</f>
        <v/>
      </c>
      <c r="I3" s="15">
        <f>IF(2&lt;=Setup!$D$7,2,"")</f>
        <v/>
      </c>
      <c r="J3" s="15">
        <f>IF(3&lt;=Setup!$D$7,3,"")</f>
        <v/>
      </c>
      <c r="K3" s="15">
        <f>IF(4&lt;=Setup!$D$7,4,"")</f>
        <v/>
      </c>
      <c r="L3" s="15">
        <f>IF(5&lt;=Setup!$D$7,5,"")</f>
        <v/>
      </c>
      <c r="M3" s="15">
        <f>IF(6&lt;=Setup!$D$7,6,"")</f>
        <v/>
      </c>
      <c r="N3" s="7" t="n"/>
    </row>
    <row r="4" ht="22" customHeight="1">
      <c r="A4" s="14" t="n">
        <v>2</v>
      </c>
      <c r="B4" s="15">
        <f>IF(0&lt;=Setup!$C$8,0,"")</f>
        <v/>
      </c>
      <c r="C4" s="15">
        <f>IF(1&lt;=Setup!$C$8,1,"")</f>
        <v/>
      </c>
      <c r="D4" s="15">
        <f>IF(2&lt;=Setup!$C$8,2,"")</f>
        <v/>
      </c>
      <c r="E4" s="15">
        <f>IF(3&lt;=Setup!$C$8,3,"")</f>
        <v/>
      </c>
      <c r="F4" s="15">
        <f>IF(4&lt;=Setup!$C$8,4,"")</f>
        <v/>
      </c>
      <c r="G4" s="15">
        <f>IF(0&lt;=Setup!$D$8,0,"")</f>
        <v/>
      </c>
      <c r="H4" s="15">
        <f>IF(1&lt;=Setup!$D$8,1,"")</f>
        <v/>
      </c>
      <c r="I4" s="15">
        <f>IF(2&lt;=Setup!$D$8,2,"")</f>
        <v/>
      </c>
      <c r="J4" s="15">
        <f>IF(3&lt;=Setup!$D$8,3,"")</f>
        <v/>
      </c>
      <c r="K4" s="15">
        <f>IF(4&lt;=Setup!$D$8,4,"")</f>
        <v/>
      </c>
      <c r="L4" s="15">
        <f>IF(5&lt;=Setup!$D$8,5,"")</f>
        <v/>
      </c>
      <c r="M4" s="15">
        <f>IF(6&lt;=Setup!$D$8,6,"")</f>
        <v/>
      </c>
      <c r="N4" s="7" t="n"/>
    </row>
    <row r="5" ht="22" customHeight="1">
      <c r="A5" s="14" t="n">
        <v>3</v>
      </c>
      <c r="B5" s="15">
        <f>IF(0&lt;=Setup!$C$9,0,"")</f>
        <v/>
      </c>
      <c r="C5" s="15">
        <f>IF(1&lt;=Setup!$C$9,1,"")</f>
        <v/>
      </c>
      <c r="D5" s="15">
        <f>IF(2&lt;=Setup!$C$9,2,"")</f>
        <v/>
      </c>
      <c r="E5" s="15">
        <f>IF(3&lt;=Setup!$C$9,3,"")</f>
        <v/>
      </c>
      <c r="F5" s="15">
        <f>IF(4&lt;=Setup!$C$9,4,"")</f>
        <v/>
      </c>
      <c r="G5" s="15">
        <f>IF(0&lt;=Setup!$D$9,0,"")</f>
        <v/>
      </c>
      <c r="H5" s="15">
        <f>IF(1&lt;=Setup!$D$9,1,"")</f>
        <v/>
      </c>
      <c r="I5" s="15">
        <f>IF(2&lt;=Setup!$D$9,2,"")</f>
        <v/>
      </c>
      <c r="J5" s="15">
        <f>IF(3&lt;=Setup!$D$9,3,"")</f>
        <v/>
      </c>
      <c r="K5" s="15">
        <f>IF(4&lt;=Setup!$D$9,4,"")</f>
        <v/>
      </c>
      <c r="L5" s="15">
        <f>IF(5&lt;=Setup!$D$9,5,"")</f>
        <v/>
      </c>
      <c r="M5" s="15">
        <f>IF(6&lt;=Setup!$D$9,6,"")</f>
        <v/>
      </c>
      <c r="N5" s="7" t="n"/>
    </row>
    <row r="6" ht="22" customHeight="1">
      <c r="A6" s="14" t="n">
        <v>4</v>
      </c>
      <c r="B6" s="15">
        <f>IF(0&lt;=Setup!$C$10,0,"")</f>
        <v/>
      </c>
      <c r="C6" s="15">
        <f>IF(1&lt;=Setup!$C$10,1,"")</f>
        <v/>
      </c>
      <c r="D6" s="15">
        <f>IF(2&lt;=Setup!$C$10,2,"")</f>
        <v/>
      </c>
      <c r="E6" s="15">
        <f>IF(3&lt;=Setup!$C$10,3,"")</f>
        <v/>
      </c>
      <c r="F6" s="15">
        <f>IF(4&lt;=Setup!$C$10,4,"")</f>
        <v/>
      </c>
      <c r="G6" s="15">
        <f>IF(0&lt;=Setup!$D$10,0,"")</f>
        <v/>
      </c>
      <c r="H6" s="15">
        <f>IF(1&lt;=Setup!$D$10,1,"")</f>
        <v/>
      </c>
      <c r="I6" s="15">
        <f>IF(2&lt;=Setup!$D$10,2,"")</f>
        <v/>
      </c>
      <c r="J6" s="15">
        <f>IF(3&lt;=Setup!$D$10,3,"")</f>
        <v/>
      </c>
      <c r="K6" s="15">
        <f>IF(4&lt;=Setup!$D$10,4,"")</f>
        <v/>
      </c>
      <c r="L6" s="15">
        <f>IF(5&lt;=Setup!$D$10,5,"")</f>
        <v/>
      </c>
      <c r="M6" s="15">
        <f>IF(6&lt;=Setup!$D$10,6,"")</f>
        <v/>
      </c>
      <c r="N6" s="7" t="n"/>
    </row>
    <row r="7" ht="22" customHeight="1">
      <c r="A7" s="14" t="n">
        <v>5</v>
      </c>
      <c r="B7" s="15">
        <f>IF(0&lt;=Setup!$C$11,0,"")</f>
        <v/>
      </c>
      <c r="C7" s="15">
        <f>IF(1&lt;=Setup!$C$11,1,"")</f>
        <v/>
      </c>
      <c r="D7" s="15">
        <f>IF(2&lt;=Setup!$C$11,2,"")</f>
        <v/>
      </c>
      <c r="E7" s="15">
        <f>IF(3&lt;=Setup!$C$11,3,"")</f>
        <v/>
      </c>
      <c r="F7" s="15">
        <f>IF(4&lt;=Setup!$C$11,4,"")</f>
        <v/>
      </c>
      <c r="G7" s="15">
        <f>IF(0&lt;=Setup!$D$11,0,"")</f>
        <v/>
      </c>
      <c r="H7" s="15">
        <f>IF(1&lt;=Setup!$D$11,1,"")</f>
        <v/>
      </c>
      <c r="I7" s="15">
        <f>IF(2&lt;=Setup!$D$11,2,"")</f>
        <v/>
      </c>
      <c r="J7" s="15">
        <f>IF(3&lt;=Setup!$D$11,3,"")</f>
        <v/>
      </c>
      <c r="K7" s="15">
        <f>IF(4&lt;=Setup!$D$11,4,"")</f>
        <v/>
      </c>
      <c r="L7" s="15">
        <f>IF(5&lt;=Setup!$D$11,5,"")</f>
        <v/>
      </c>
      <c r="M7" s="15">
        <f>IF(6&lt;=Setup!$D$11,6,"")</f>
        <v/>
      </c>
      <c r="N7" s="7" t="n"/>
    </row>
    <row r="8" ht="20" customHeight="1">
      <c r="A8" s="16" t="inlineStr">
        <is>
          <t>TOTAL SCORE  →</t>
        </is>
      </c>
      <c r="N8" s="17" t="n"/>
    </row>
    <row r="9" ht="9" customHeight="1">
      <c r="A9" s="18" t="n"/>
      <c r="B9" s="18" t="n"/>
      <c r="C9" s="18" t="n"/>
      <c r="D9" s="18" t="n"/>
      <c r="E9" s="18" t="n"/>
      <c r="F9" s="18" t="n"/>
      <c r="G9" s="18" t="n"/>
      <c r="H9" s="18" t="n"/>
      <c r="I9" s="18" t="n"/>
      <c r="J9" s="18" t="n"/>
      <c r="K9" s="18" t="n"/>
      <c r="L9" s="18" t="n"/>
      <c r="M9" s="18" t="n"/>
      <c r="N9" s="18" t="n"/>
    </row>
    <row r="10" ht="19" customHeight="1">
      <c r="A10" s="10">
        <f>Setup!$B$3&amp;"  •  Rubric: Problem Set "&amp;Setup!$B$4</f>
        <v/>
      </c>
      <c r="B10" s="11" t="n"/>
      <c r="C10" s="11" t="n"/>
      <c r="D10" s="11" t="n"/>
      <c r="E10" s="11" t="n"/>
      <c r="F10" s="11" t="n"/>
      <c r="G10" s="11" t="n"/>
      <c r="H10" s="11" t="n"/>
      <c r="I10" s="11" t="n"/>
      <c r="J10" s="11" t="n"/>
      <c r="K10" s="11" t="n"/>
      <c r="L10" s="11" t="n"/>
      <c r="M10" s="11" t="n"/>
      <c r="N10" s="11" t="n"/>
    </row>
    <row r="11" ht="15" customHeight="1">
      <c r="A11" s="12" t="inlineStr">
        <is>
          <t>Prob</t>
        </is>
      </c>
      <c r="B11" s="12" t="inlineStr">
        <is>
          <t>Final Answer</t>
        </is>
      </c>
      <c r="C11" s="13" t="n"/>
      <c r="D11" s="13" t="n"/>
      <c r="E11" s="13" t="n"/>
      <c r="F11" s="13" t="n"/>
      <c r="G11" s="12" t="inlineStr">
        <is>
          <t>Concept &amp; Execution</t>
        </is>
      </c>
      <c r="H11" s="13" t="n"/>
      <c r="I11" s="13" t="n"/>
      <c r="J11" s="13" t="n"/>
      <c r="K11" s="13" t="n"/>
      <c r="L11" s="13" t="n"/>
      <c r="M11" s="13" t="n"/>
      <c r="N11" s="12" t="inlineStr">
        <is>
          <t>Score</t>
        </is>
      </c>
    </row>
    <row r="12" ht="22" customHeight="1">
      <c r="A12" s="14" t="n">
        <v>1</v>
      </c>
      <c r="B12" s="15">
        <f>IF(0&lt;=Setup!$C$7,0,"")</f>
        <v/>
      </c>
      <c r="C12" s="15">
        <f>IF(1&lt;=Setup!$C$7,1,"")</f>
        <v/>
      </c>
      <c r="D12" s="15">
        <f>IF(2&lt;=Setup!$C$7,2,"")</f>
        <v/>
      </c>
      <c r="E12" s="15">
        <f>IF(3&lt;=Setup!$C$7,3,"")</f>
        <v/>
      </c>
      <c r="F12" s="15">
        <f>IF(4&lt;=Setup!$C$7,4,"")</f>
        <v/>
      </c>
      <c r="G12" s="15">
        <f>IF(0&lt;=Setup!$D$7,0,"")</f>
        <v/>
      </c>
      <c r="H12" s="15">
        <f>IF(1&lt;=Setup!$D$7,1,"")</f>
        <v/>
      </c>
      <c r="I12" s="15">
        <f>IF(2&lt;=Setup!$D$7,2,"")</f>
        <v/>
      </c>
      <c r="J12" s="15">
        <f>IF(3&lt;=Setup!$D$7,3,"")</f>
        <v/>
      </c>
      <c r="K12" s="15">
        <f>IF(4&lt;=Setup!$D$7,4,"")</f>
        <v/>
      </c>
      <c r="L12" s="15">
        <f>IF(5&lt;=Setup!$D$7,5,"")</f>
        <v/>
      </c>
      <c r="M12" s="15">
        <f>IF(6&lt;=Setup!$D$7,6,"")</f>
        <v/>
      </c>
      <c r="N12" s="7" t="n"/>
    </row>
    <row r="13" ht="22" customHeight="1">
      <c r="A13" s="14" t="n">
        <v>2</v>
      </c>
      <c r="B13" s="15">
        <f>IF(0&lt;=Setup!$C$8,0,"")</f>
        <v/>
      </c>
      <c r="C13" s="15">
        <f>IF(1&lt;=Setup!$C$8,1,"")</f>
        <v/>
      </c>
      <c r="D13" s="15">
        <f>IF(2&lt;=Setup!$C$8,2,"")</f>
        <v/>
      </c>
      <c r="E13" s="15">
        <f>IF(3&lt;=Setup!$C$8,3,"")</f>
        <v/>
      </c>
      <c r="F13" s="15">
        <f>IF(4&lt;=Setup!$C$8,4,"")</f>
        <v/>
      </c>
      <c r="G13" s="15">
        <f>IF(0&lt;=Setup!$D$8,0,"")</f>
        <v/>
      </c>
      <c r="H13" s="15">
        <f>IF(1&lt;=Setup!$D$8,1,"")</f>
        <v/>
      </c>
      <c r="I13" s="15">
        <f>IF(2&lt;=Setup!$D$8,2,"")</f>
        <v/>
      </c>
      <c r="J13" s="15">
        <f>IF(3&lt;=Setup!$D$8,3,"")</f>
        <v/>
      </c>
      <c r="K13" s="15">
        <f>IF(4&lt;=Setup!$D$8,4,"")</f>
        <v/>
      </c>
      <c r="L13" s="15">
        <f>IF(5&lt;=Setup!$D$8,5,"")</f>
        <v/>
      </c>
      <c r="M13" s="15">
        <f>IF(6&lt;=Setup!$D$8,6,"")</f>
        <v/>
      </c>
      <c r="N13" s="7" t="n"/>
    </row>
    <row r="14" ht="22" customHeight="1">
      <c r="A14" s="14" t="n">
        <v>3</v>
      </c>
      <c r="B14" s="15">
        <f>IF(0&lt;=Setup!$C$9,0,"")</f>
        <v/>
      </c>
      <c r="C14" s="15">
        <f>IF(1&lt;=Setup!$C$9,1,"")</f>
        <v/>
      </c>
      <c r="D14" s="15">
        <f>IF(2&lt;=Setup!$C$9,2,"")</f>
        <v/>
      </c>
      <c r="E14" s="15">
        <f>IF(3&lt;=Setup!$C$9,3,"")</f>
        <v/>
      </c>
      <c r="F14" s="15">
        <f>IF(4&lt;=Setup!$C$9,4,"")</f>
        <v/>
      </c>
      <c r="G14" s="15">
        <f>IF(0&lt;=Setup!$D$9,0,"")</f>
        <v/>
      </c>
      <c r="H14" s="15">
        <f>IF(1&lt;=Setup!$D$9,1,"")</f>
        <v/>
      </c>
      <c r="I14" s="15">
        <f>IF(2&lt;=Setup!$D$9,2,"")</f>
        <v/>
      </c>
      <c r="J14" s="15">
        <f>IF(3&lt;=Setup!$D$9,3,"")</f>
        <v/>
      </c>
      <c r="K14" s="15">
        <f>IF(4&lt;=Setup!$D$9,4,"")</f>
        <v/>
      </c>
      <c r="L14" s="15">
        <f>IF(5&lt;=Setup!$D$9,5,"")</f>
        <v/>
      </c>
      <c r="M14" s="15">
        <f>IF(6&lt;=Setup!$D$9,6,"")</f>
        <v/>
      </c>
      <c r="N14" s="7" t="n"/>
    </row>
    <row r="15" ht="22" customHeight="1">
      <c r="A15" s="14" t="n">
        <v>4</v>
      </c>
      <c r="B15" s="15">
        <f>IF(0&lt;=Setup!$C$10,0,"")</f>
        <v/>
      </c>
      <c r="C15" s="15">
        <f>IF(1&lt;=Setup!$C$10,1,"")</f>
        <v/>
      </c>
      <c r="D15" s="15">
        <f>IF(2&lt;=Setup!$C$10,2,"")</f>
        <v/>
      </c>
      <c r="E15" s="15">
        <f>IF(3&lt;=Setup!$C$10,3,"")</f>
        <v/>
      </c>
      <c r="F15" s="15">
        <f>IF(4&lt;=Setup!$C$10,4,"")</f>
        <v/>
      </c>
      <c r="G15" s="15">
        <f>IF(0&lt;=Setup!$D$10,0,"")</f>
        <v/>
      </c>
      <c r="H15" s="15">
        <f>IF(1&lt;=Setup!$D$10,1,"")</f>
        <v/>
      </c>
      <c r="I15" s="15">
        <f>IF(2&lt;=Setup!$D$10,2,"")</f>
        <v/>
      </c>
      <c r="J15" s="15">
        <f>IF(3&lt;=Setup!$D$10,3,"")</f>
        <v/>
      </c>
      <c r="K15" s="15">
        <f>IF(4&lt;=Setup!$D$10,4,"")</f>
        <v/>
      </c>
      <c r="L15" s="15">
        <f>IF(5&lt;=Setup!$D$10,5,"")</f>
        <v/>
      </c>
      <c r="M15" s="15">
        <f>IF(6&lt;=Setup!$D$10,6,"")</f>
        <v/>
      </c>
      <c r="N15" s="7" t="n"/>
    </row>
    <row r="16" ht="22" customHeight="1">
      <c r="A16" s="14" t="n">
        <v>5</v>
      </c>
      <c r="B16" s="15">
        <f>IF(0&lt;=Setup!$C$11,0,"")</f>
        <v/>
      </c>
      <c r="C16" s="15">
        <f>IF(1&lt;=Setup!$C$11,1,"")</f>
        <v/>
      </c>
      <c r="D16" s="15">
        <f>IF(2&lt;=Setup!$C$11,2,"")</f>
        <v/>
      </c>
      <c r="E16" s="15">
        <f>IF(3&lt;=Setup!$C$11,3,"")</f>
        <v/>
      </c>
      <c r="F16" s="15">
        <f>IF(4&lt;=Setup!$C$11,4,"")</f>
        <v/>
      </c>
      <c r="G16" s="15">
        <f>IF(0&lt;=Setup!$D$11,0,"")</f>
        <v/>
      </c>
      <c r="H16" s="15">
        <f>IF(1&lt;=Setup!$D$11,1,"")</f>
        <v/>
      </c>
      <c r="I16" s="15">
        <f>IF(2&lt;=Setup!$D$11,2,"")</f>
        <v/>
      </c>
      <c r="J16" s="15">
        <f>IF(3&lt;=Setup!$D$11,3,"")</f>
        <v/>
      </c>
      <c r="K16" s="15">
        <f>IF(4&lt;=Setup!$D$11,4,"")</f>
        <v/>
      </c>
      <c r="L16" s="15">
        <f>IF(5&lt;=Setup!$D$11,5,"")</f>
        <v/>
      </c>
      <c r="M16" s="15">
        <f>IF(6&lt;=Setup!$D$11,6,"")</f>
        <v/>
      </c>
      <c r="N16" s="7" t="n"/>
    </row>
    <row r="17" ht="20" customHeight="1">
      <c r="A17" s="16" t="inlineStr">
        <is>
          <t>TOTAL SCORE  →</t>
        </is>
      </c>
      <c r="N17" s="17" t="n"/>
    </row>
    <row r="18" ht="9" customHeight="1">
      <c r="A18" s="18" t="n"/>
      <c r="B18" s="18" t="n"/>
      <c r="C18" s="18" t="n"/>
      <c r="D18" s="18" t="n"/>
      <c r="E18" s="18" t="n"/>
      <c r="F18" s="18" t="n"/>
      <c r="G18" s="18" t="n"/>
      <c r="H18" s="18" t="n"/>
      <c r="I18" s="18" t="n"/>
      <c r="J18" s="18" t="n"/>
      <c r="K18" s="18" t="n"/>
      <c r="L18" s="18" t="n"/>
      <c r="M18" s="18" t="n"/>
      <c r="N18" s="18" t="n"/>
    </row>
    <row r="19" ht="19" customHeight="1">
      <c r="A19" s="10">
        <f>Setup!$B$3&amp;"  •  Rubric: Problem Set "&amp;Setup!$B$4</f>
        <v/>
      </c>
      <c r="B19" s="11" t="n"/>
      <c r="C19" s="11" t="n"/>
      <c r="D19" s="11" t="n"/>
      <c r="E19" s="11" t="n"/>
      <c r="F19" s="11" t="n"/>
      <c r="G19" s="11" t="n"/>
      <c r="H19" s="11" t="n"/>
      <c r="I19" s="11" t="n"/>
      <c r="J19" s="11" t="n"/>
      <c r="K19" s="11" t="n"/>
      <c r="L19" s="11" t="n"/>
      <c r="M19" s="11" t="n"/>
      <c r="N19" s="11" t="n"/>
    </row>
    <row r="20" ht="15" customHeight="1">
      <c r="A20" s="12" t="inlineStr">
        <is>
          <t>Prob</t>
        </is>
      </c>
      <c r="B20" s="12" t="inlineStr">
        <is>
          <t>Final Answer</t>
        </is>
      </c>
      <c r="C20" s="13" t="n"/>
      <c r="D20" s="13" t="n"/>
      <c r="E20" s="13" t="n"/>
      <c r="F20" s="13" t="n"/>
      <c r="G20" s="12" t="inlineStr">
        <is>
          <t>Concept &amp; Execution</t>
        </is>
      </c>
      <c r="H20" s="13" t="n"/>
      <c r="I20" s="13" t="n"/>
      <c r="J20" s="13" t="n"/>
      <c r="K20" s="13" t="n"/>
      <c r="L20" s="13" t="n"/>
      <c r="M20" s="13" t="n"/>
      <c r="N20" s="12" t="inlineStr">
        <is>
          <t>Score</t>
        </is>
      </c>
    </row>
    <row r="21" ht="22" customHeight="1">
      <c r="A21" s="14" t="n">
        <v>1</v>
      </c>
      <c r="B21" s="15">
        <f>IF(0&lt;=Setup!$C$7,0,"")</f>
        <v/>
      </c>
      <c r="C21" s="15">
        <f>IF(1&lt;=Setup!$C$7,1,"")</f>
        <v/>
      </c>
      <c r="D21" s="15">
        <f>IF(2&lt;=Setup!$C$7,2,"")</f>
        <v/>
      </c>
      <c r="E21" s="15">
        <f>IF(3&lt;=Setup!$C$7,3,"")</f>
        <v/>
      </c>
      <c r="F21" s="15">
        <f>IF(4&lt;=Setup!$C$7,4,"")</f>
        <v/>
      </c>
      <c r="G21" s="15">
        <f>IF(0&lt;=Setup!$D$7,0,"")</f>
        <v/>
      </c>
      <c r="H21" s="15">
        <f>IF(1&lt;=Setup!$D$7,1,"")</f>
        <v/>
      </c>
      <c r="I21" s="15">
        <f>IF(2&lt;=Setup!$D$7,2,"")</f>
        <v/>
      </c>
      <c r="J21" s="15">
        <f>IF(3&lt;=Setup!$D$7,3,"")</f>
        <v/>
      </c>
      <c r="K21" s="15">
        <f>IF(4&lt;=Setup!$D$7,4,"")</f>
        <v/>
      </c>
      <c r="L21" s="15">
        <f>IF(5&lt;=Setup!$D$7,5,"")</f>
        <v/>
      </c>
      <c r="M21" s="15">
        <f>IF(6&lt;=Setup!$D$7,6,"")</f>
        <v/>
      </c>
      <c r="N21" s="7" t="n"/>
    </row>
    <row r="22" ht="22" customHeight="1">
      <c r="A22" s="14" t="n">
        <v>2</v>
      </c>
      <c r="B22" s="15">
        <f>IF(0&lt;=Setup!$C$8,0,"")</f>
        <v/>
      </c>
      <c r="C22" s="15">
        <f>IF(1&lt;=Setup!$C$8,1,"")</f>
        <v/>
      </c>
      <c r="D22" s="15">
        <f>IF(2&lt;=Setup!$C$8,2,"")</f>
        <v/>
      </c>
      <c r="E22" s="15">
        <f>IF(3&lt;=Setup!$C$8,3,"")</f>
        <v/>
      </c>
      <c r="F22" s="15">
        <f>IF(4&lt;=Setup!$C$8,4,"")</f>
        <v/>
      </c>
      <c r="G22" s="15">
        <f>IF(0&lt;=Setup!$D$8,0,"")</f>
        <v/>
      </c>
      <c r="H22" s="15">
        <f>IF(1&lt;=Setup!$D$8,1,"")</f>
        <v/>
      </c>
      <c r="I22" s="15">
        <f>IF(2&lt;=Setup!$D$8,2,"")</f>
        <v/>
      </c>
      <c r="J22" s="15">
        <f>IF(3&lt;=Setup!$D$8,3,"")</f>
        <v/>
      </c>
      <c r="K22" s="15">
        <f>IF(4&lt;=Setup!$D$8,4,"")</f>
        <v/>
      </c>
      <c r="L22" s="15">
        <f>IF(5&lt;=Setup!$D$8,5,"")</f>
        <v/>
      </c>
      <c r="M22" s="15">
        <f>IF(6&lt;=Setup!$D$8,6,"")</f>
        <v/>
      </c>
      <c r="N22" s="7" t="n"/>
    </row>
    <row r="23" ht="22" customHeight="1">
      <c r="A23" s="14" t="n">
        <v>3</v>
      </c>
      <c r="B23" s="15">
        <f>IF(0&lt;=Setup!$C$9,0,"")</f>
        <v/>
      </c>
      <c r="C23" s="15">
        <f>IF(1&lt;=Setup!$C$9,1,"")</f>
        <v/>
      </c>
      <c r="D23" s="15">
        <f>IF(2&lt;=Setup!$C$9,2,"")</f>
        <v/>
      </c>
      <c r="E23" s="15">
        <f>IF(3&lt;=Setup!$C$9,3,"")</f>
        <v/>
      </c>
      <c r="F23" s="15">
        <f>IF(4&lt;=Setup!$C$9,4,"")</f>
        <v/>
      </c>
      <c r="G23" s="15">
        <f>IF(0&lt;=Setup!$D$9,0,"")</f>
        <v/>
      </c>
      <c r="H23" s="15">
        <f>IF(1&lt;=Setup!$D$9,1,"")</f>
        <v/>
      </c>
      <c r="I23" s="15">
        <f>IF(2&lt;=Setup!$D$9,2,"")</f>
        <v/>
      </c>
      <c r="J23" s="15">
        <f>IF(3&lt;=Setup!$D$9,3,"")</f>
        <v/>
      </c>
      <c r="K23" s="15">
        <f>IF(4&lt;=Setup!$D$9,4,"")</f>
        <v/>
      </c>
      <c r="L23" s="15">
        <f>IF(5&lt;=Setup!$D$9,5,"")</f>
        <v/>
      </c>
      <c r="M23" s="15">
        <f>IF(6&lt;=Setup!$D$9,6,"")</f>
        <v/>
      </c>
      <c r="N23" s="7" t="n"/>
    </row>
    <row r="24" ht="22" customHeight="1">
      <c r="A24" s="14" t="n">
        <v>4</v>
      </c>
      <c r="B24" s="15">
        <f>IF(0&lt;=Setup!$C$10,0,"")</f>
        <v/>
      </c>
      <c r="C24" s="15">
        <f>IF(1&lt;=Setup!$C$10,1,"")</f>
        <v/>
      </c>
      <c r="D24" s="15">
        <f>IF(2&lt;=Setup!$C$10,2,"")</f>
        <v/>
      </c>
      <c r="E24" s="15">
        <f>IF(3&lt;=Setup!$C$10,3,"")</f>
        <v/>
      </c>
      <c r="F24" s="15">
        <f>IF(4&lt;=Setup!$C$10,4,"")</f>
        <v/>
      </c>
      <c r="G24" s="15">
        <f>IF(0&lt;=Setup!$D$10,0,"")</f>
        <v/>
      </c>
      <c r="H24" s="15">
        <f>IF(1&lt;=Setup!$D$10,1,"")</f>
        <v/>
      </c>
      <c r="I24" s="15">
        <f>IF(2&lt;=Setup!$D$10,2,"")</f>
        <v/>
      </c>
      <c r="J24" s="15">
        <f>IF(3&lt;=Setup!$D$10,3,"")</f>
        <v/>
      </c>
      <c r="K24" s="15">
        <f>IF(4&lt;=Setup!$D$10,4,"")</f>
        <v/>
      </c>
      <c r="L24" s="15">
        <f>IF(5&lt;=Setup!$D$10,5,"")</f>
        <v/>
      </c>
      <c r="M24" s="15">
        <f>IF(6&lt;=Setup!$D$10,6,"")</f>
        <v/>
      </c>
      <c r="N24" s="7" t="n"/>
    </row>
    <row r="25" ht="22" customHeight="1">
      <c r="A25" s="14" t="n">
        <v>5</v>
      </c>
      <c r="B25" s="15">
        <f>IF(0&lt;=Setup!$C$11,0,"")</f>
        <v/>
      </c>
      <c r="C25" s="15">
        <f>IF(1&lt;=Setup!$C$11,1,"")</f>
        <v/>
      </c>
      <c r="D25" s="15">
        <f>IF(2&lt;=Setup!$C$11,2,"")</f>
        <v/>
      </c>
      <c r="E25" s="15">
        <f>IF(3&lt;=Setup!$C$11,3,"")</f>
        <v/>
      </c>
      <c r="F25" s="15">
        <f>IF(4&lt;=Setup!$C$11,4,"")</f>
        <v/>
      </c>
      <c r="G25" s="15">
        <f>IF(0&lt;=Setup!$D$11,0,"")</f>
        <v/>
      </c>
      <c r="H25" s="15">
        <f>IF(1&lt;=Setup!$D$11,1,"")</f>
        <v/>
      </c>
      <c r="I25" s="15">
        <f>IF(2&lt;=Setup!$D$11,2,"")</f>
        <v/>
      </c>
      <c r="J25" s="15">
        <f>IF(3&lt;=Setup!$D$11,3,"")</f>
        <v/>
      </c>
      <c r="K25" s="15">
        <f>IF(4&lt;=Setup!$D$11,4,"")</f>
        <v/>
      </c>
      <c r="L25" s="15">
        <f>IF(5&lt;=Setup!$D$11,5,"")</f>
        <v/>
      </c>
      <c r="M25" s="15">
        <f>IF(6&lt;=Setup!$D$11,6,"")</f>
        <v/>
      </c>
      <c r="N25" s="7" t="n"/>
    </row>
    <row r="26" ht="20" customHeight="1">
      <c r="A26" s="16" t="inlineStr">
        <is>
          <t>TOTAL SCORE  →</t>
        </is>
      </c>
      <c r="N26" s="17" t="n"/>
    </row>
    <row r="27" ht="9" customHeight="1">
      <c r="A27" s="18" t="n"/>
      <c r="B27" s="18" t="n"/>
      <c r="C27" s="18" t="n"/>
      <c r="D27" s="18" t="n"/>
      <c r="E27" s="18" t="n"/>
      <c r="F27" s="18" t="n"/>
      <c r="G27" s="18" t="n"/>
      <c r="H27" s="18" t="n"/>
      <c r="I27" s="18" t="n"/>
      <c r="J27" s="18" t="n"/>
      <c r="K27" s="18" t="n"/>
      <c r="L27" s="18" t="n"/>
      <c r="M27" s="18" t="n"/>
      <c r="N27" s="18" t="n"/>
    </row>
    <row r="28" ht="19" customHeight="1">
      <c r="A28" s="10">
        <f>Setup!$B$3&amp;"  •  Rubric: Problem Set "&amp;Setup!$B$4</f>
        <v/>
      </c>
      <c r="B28" s="11" t="n"/>
      <c r="C28" s="11" t="n"/>
      <c r="D28" s="11" t="n"/>
      <c r="E28" s="11" t="n"/>
      <c r="F28" s="11" t="n"/>
      <c r="G28" s="11" t="n"/>
      <c r="H28" s="11" t="n"/>
      <c r="I28" s="11" t="n"/>
      <c r="J28" s="11" t="n"/>
      <c r="K28" s="11" t="n"/>
      <c r="L28" s="11" t="n"/>
      <c r="M28" s="11" t="n"/>
      <c r="N28" s="11" t="n"/>
    </row>
    <row r="29" ht="15" customHeight="1">
      <c r="A29" s="12" t="inlineStr">
        <is>
          <t>Prob</t>
        </is>
      </c>
      <c r="B29" s="12" t="inlineStr">
        <is>
          <t>Final Answer</t>
        </is>
      </c>
      <c r="C29" s="13" t="n"/>
      <c r="D29" s="13" t="n"/>
      <c r="E29" s="13" t="n"/>
      <c r="F29" s="13" t="n"/>
      <c r="G29" s="12" t="inlineStr">
        <is>
          <t>Concept &amp; Execution</t>
        </is>
      </c>
      <c r="H29" s="13" t="n"/>
      <c r="I29" s="13" t="n"/>
      <c r="J29" s="13" t="n"/>
      <c r="K29" s="13" t="n"/>
      <c r="L29" s="13" t="n"/>
      <c r="M29" s="13" t="n"/>
      <c r="N29" s="12" t="inlineStr">
        <is>
          <t>Score</t>
        </is>
      </c>
    </row>
    <row r="30" ht="22" customHeight="1">
      <c r="A30" s="14" t="n">
        <v>1</v>
      </c>
      <c r="B30" s="15">
        <f>IF(0&lt;=Setup!$C$7,0,"")</f>
        <v/>
      </c>
      <c r="C30" s="15">
        <f>IF(1&lt;=Setup!$C$7,1,"")</f>
        <v/>
      </c>
      <c r="D30" s="15">
        <f>IF(2&lt;=Setup!$C$7,2,"")</f>
        <v/>
      </c>
      <c r="E30" s="15">
        <f>IF(3&lt;=Setup!$C$7,3,"")</f>
        <v/>
      </c>
      <c r="F30" s="15">
        <f>IF(4&lt;=Setup!$C$7,4,"")</f>
        <v/>
      </c>
      <c r="G30" s="15">
        <f>IF(0&lt;=Setup!$D$7,0,"")</f>
        <v/>
      </c>
      <c r="H30" s="15">
        <f>IF(1&lt;=Setup!$D$7,1,"")</f>
        <v/>
      </c>
      <c r="I30" s="15">
        <f>IF(2&lt;=Setup!$D$7,2,"")</f>
        <v/>
      </c>
      <c r="J30" s="15">
        <f>IF(3&lt;=Setup!$D$7,3,"")</f>
        <v/>
      </c>
      <c r="K30" s="15">
        <f>IF(4&lt;=Setup!$D$7,4,"")</f>
        <v/>
      </c>
      <c r="L30" s="15">
        <f>IF(5&lt;=Setup!$D$7,5,"")</f>
        <v/>
      </c>
      <c r="M30" s="15">
        <f>IF(6&lt;=Setup!$D$7,6,"")</f>
        <v/>
      </c>
      <c r="N30" s="7" t="n"/>
    </row>
    <row r="31" ht="22" customHeight="1">
      <c r="A31" s="14" t="n">
        <v>2</v>
      </c>
      <c r="B31" s="15">
        <f>IF(0&lt;=Setup!$C$8,0,"")</f>
        <v/>
      </c>
      <c r="C31" s="15">
        <f>IF(1&lt;=Setup!$C$8,1,"")</f>
        <v/>
      </c>
      <c r="D31" s="15">
        <f>IF(2&lt;=Setup!$C$8,2,"")</f>
        <v/>
      </c>
      <c r="E31" s="15">
        <f>IF(3&lt;=Setup!$C$8,3,"")</f>
        <v/>
      </c>
      <c r="F31" s="15">
        <f>IF(4&lt;=Setup!$C$8,4,"")</f>
        <v/>
      </c>
      <c r="G31" s="15">
        <f>IF(0&lt;=Setup!$D$8,0,"")</f>
        <v/>
      </c>
      <c r="H31" s="15">
        <f>IF(1&lt;=Setup!$D$8,1,"")</f>
        <v/>
      </c>
      <c r="I31" s="15">
        <f>IF(2&lt;=Setup!$D$8,2,"")</f>
        <v/>
      </c>
      <c r="J31" s="15">
        <f>IF(3&lt;=Setup!$D$8,3,"")</f>
        <v/>
      </c>
      <c r="K31" s="15">
        <f>IF(4&lt;=Setup!$D$8,4,"")</f>
        <v/>
      </c>
      <c r="L31" s="15">
        <f>IF(5&lt;=Setup!$D$8,5,"")</f>
        <v/>
      </c>
      <c r="M31" s="15">
        <f>IF(6&lt;=Setup!$D$8,6,"")</f>
        <v/>
      </c>
      <c r="N31" s="7" t="n"/>
    </row>
    <row r="32" ht="22" customHeight="1">
      <c r="A32" s="14" t="n">
        <v>3</v>
      </c>
      <c r="B32" s="15">
        <f>IF(0&lt;=Setup!$C$9,0,"")</f>
        <v/>
      </c>
      <c r="C32" s="15">
        <f>IF(1&lt;=Setup!$C$9,1,"")</f>
        <v/>
      </c>
      <c r="D32" s="15">
        <f>IF(2&lt;=Setup!$C$9,2,"")</f>
        <v/>
      </c>
      <c r="E32" s="15">
        <f>IF(3&lt;=Setup!$C$9,3,"")</f>
        <v/>
      </c>
      <c r="F32" s="15">
        <f>IF(4&lt;=Setup!$C$9,4,"")</f>
        <v/>
      </c>
      <c r="G32" s="15">
        <f>IF(0&lt;=Setup!$D$9,0,"")</f>
        <v/>
      </c>
      <c r="H32" s="15">
        <f>IF(1&lt;=Setup!$D$9,1,"")</f>
        <v/>
      </c>
      <c r="I32" s="15">
        <f>IF(2&lt;=Setup!$D$9,2,"")</f>
        <v/>
      </c>
      <c r="J32" s="15">
        <f>IF(3&lt;=Setup!$D$9,3,"")</f>
        <v/>
      </c>
      <c r="K32" s="15">
        <f>IF(4&lt;=Setup!$D$9,4,"")</f>
        <v/>
      </c>
      <c r="L32" s="15">
        <f>IF(5&lt;=Setup!$D$9,5,"")</f>
        <v/>
      </c>
      <c r="M32" s="15">
        <f>IF(6&lt;=Setup!$D$9,6,"")</f>
        <v/>
      </c>
      <c r="N32" s="7" t="n"/>
    </row>
    <row r="33" ht="22" customHeight="1">
      <c r="A33" s="14" t="n">
        <v>4</v>
      </c>
      <c r="B33" s="15">
        <f>IF(0&lt;=Setup!$C$10,0,"")</f>
        <v/>
      </c>
      <c r="C33" s="15">
        <f>IF(1&lt;=Setup!$C$10,1,"")</f>
        <v/>
      </c>
      <c r="D33" s="15">
        <f>IF(2&lt;=Setup!$C$10,2,"")</f>
        <v/>
      </c>
      <c r="E33" s="15">
        <f>IF(3&lt;=Setup!$C$10,3,"")</f>
        <v/>
      </c>
      <c r="F33" s="15">
        <f>IF(4&lt;=Setup!$C$10,4,"")</f>
        <v/>
      </c>
      <c r="G33" s="15">
        <f>IF(0&lt;=Setup!$D$10,0,"")</f>
        <v/>
      </c>
      <c r="H33" s="15">
        <f>IF(1&lt;=Setup!$D$10,1,"")</f>
        <v/>
      </c>
      <c r="I33" s="15">
        <f>IF(2&lt;=Setup!$D$10,2,"")</f>
        <v/>
      </c>
      <c r="J33" s="15">
        <f>IF(3&lt;=Setup!$D$10,3,"")</f>
        <v/>
      </c>
      <c r="K33" s="15">
        <f>IF(4&lt;=Setup!$D$10,4,"")</f>
        <v/>
      </c>
      <c r="L33" s="15">
        <f>IF(5&lt;=Setup!$D$10,5,"")</f>
        <v/>
      </c>
      <c r="M33" s="15">
        <f>IF(6&lt;=Setup!$D$10,6,"")</f>
        <v/>
      </c>
      <c r="N33" s="7" t="n"/>
    </row>
    <row r="34" ht="22" customHeight="1">
      <c r="A34" s="14" t="n">
        <v>5</v>
      </c>
      <c r="B34" s="15">
        <f>IF(0&lt;=Setup!$C$11,0,"")</f>
        <v/>
      </c>
      <c r="C34" s="15">
        <f>IF(1&lt;=Setup!$C$11,1,"")</f>
        <v/>
      </c>
      <c r="D34" s="15">
        <f>IF(2&lt;=Setup!$C$11,2,"")</f>
        <v/>
      </c>
      <c r="E34" s="15">
        <f>IF(3&lt;=Setup!$C$11,3,"")</f>
        <v/>
      </c>
      <c r="F34" s="15">
        <f>IF(4&lt;=Setup!$C$11,4,"")</f>
        <v/>
      </c>
      <c r="G34" s="15">
        <f>IF(0&lt;=Setup!$D$11,0,"")</f>
        <v/>
      </c>
      <c r="H34" s="15">
        <f>IF(1&lt;=Setup!$D$11,1,"")</f>
        <v/>
      </c>
      <c r="I34" s="15">
        <f>IF(2&lt;=Setup!$D$11,2,"")</f>
        <v/>
      </c>
      <c r="J34" s="15">
        <f>IF(3&lt;=Setup!$D$11,3,"")</f>
        <v/>
      </c>
      <c r="K34" s="15">
        <f>IF(4&lt;=Setup!$D$11,4,"")</f>
        <v/>
      </c>
      <c r="L34" s="15">
        <f>IF(5&lt;=Setup!$D$11,5,"")</f>
        <v/>
      </c>
      <c r="M34" s="15">
        <f>IF(6&lt;=Setup!$D$11,6,"")</f>
        <v/>
      </c>
      <c r="N34" s="7" t="n"/>
    </row>
    <row r="35" ht="20" customHeight="1">
      <c r="A35" s="16" t="inlineStr">
        <is>
          <t>TOTAL SCORE  →</t>
        </is>
      </c>
      <c r="N35" s="17" t="n"/>
    </row>
    <row r="36" ht="9" customHeight="1">
      <c r="A36" s="18" t="n"/>
      <c r="B36" s="18" t="n"/>
      <c r="C36" s="18" t="n"/>
      <c r="D36" s="18" t="n"/>
      <c r="E36" s="18" t="n"/>
      <c r="F36" s="18" t="n"/>
      <c r="G36" s="18" t="n"/>
      <c r="H36" s="18" t="n"/>
      <c r="I36" s="18" t="n"/>
      <c r="J36" s="18" t="n"/>
      <c r="K36" s="18" t="n"/>
      <c r="L36" s="18" t="n"/>
      <c r="M36" s="18" t="n"/>
      <c r="N36" s="18" t="n"/>
    </row>
    <row r="37" ht="19" customHeight="1">
      <c r="A37" s="10">
        <f>Setup!$B$3&amp;"  •  Rubric: Problem Set "&amp;Setup!$B$4</f>
        <v/>
      </c>
      <c r="B37" s="11" t="n"/>
      <c r="C37" s="11" t="n"/>
      <c r="D37" s="11" t="n"/>
      <c r="E37" s="11" t="n"/>
      <c r="F37" s="11" t="n"/>
      <c r="G37" s="11" t="n"/>
      <c r="H37" s="11" t="n"/>
      <c r="I37" s="11" t="n"/>
      <c r="J37" s="11" t="n"/>
      <c r="K37" s="11" t="n"/>
      <c r="L37" s="11" t="n"/>
      <c r="M37" s="11" t="n"/>
      <c r="N37" s="11" t="n"/>
    </row>
    <row r="38" ht="15" customHeight="1">
      <c r="A38" s="12" t="inlineStr">
        <is>
          <t>Prob</t>
        </is>
      </c>
      <c r="B38" s="12" t="inlineStr">
        <is>
          <t>Final Answer</t>
        </is>
      </c>
      <c r="C38" s="13" t="n"/>
      <c r="D38" s="13" t="n"/>
      <c r="E38" s="13" t="n"/>
      <c r="F38" s="13" t="n"/>
      <c r="G38" s="12" t="inlineStr">
        <is>
          <t>Concept &amp; Execution</t>
        </is>
      </c>
      <c r="H38" s="13" t="n"/>
      <c r="I38" s="13" t="n"/>
      <c r="J38" s="13" t="n"/>
      <c r="K38" s="13" t="n"/>
      <c r="L38" s="13" t="n"/>
      <c r="M38" s="13" t="n"/>
      <c r="N38" s="12" t="inlineStr">
        <is>
          <t>Score</t>
        </is>
      </c>
    </row>
    <row r="39" ht="22" customHeight="1">
      <c r="A39" s="14" t="n">
        <v>1</v>
      </c>
      <c r="B39" s="15">
        <f>IF(0&lt;=Setup!$C$7,0,"")</f>
        <v/>
      </c>
      <c r="C39" s="15">
        <f>IF(1&lt;=Setup!$C$7,1,"")</f>
        <v/>
      </c>
      <c r="D39" s="15">
        <f>IF(2&lt;=Setup!$C$7,2,"")</f>
        <v/>
      </c>
      <c r="E39" s="15">
        <f>IF(3&lt;=Setup!$C$7,3,"")</f>
        <v/>
      </c>
      <c r="F39" s="15">
        <f>IF(4&lt;=Setup!$C$7,4,"")</f>
        <v/>
      </c>
      <c r="G39" s="15">
        <f>IF(0&lt;=Setup!$D$7,0,"")</f>
        <v/>
      </c>
      <c r="H39" s="15">
        <f>IF(1&lt;=Setup!$D$7,1,"")</f>
        <v/>
      </c>
      <c r="I39" s="15">
        <f>IF(2&lt;=Setup!$D$7,2,"")</f>
        <v/>
      </c>
      <c r="J39" s="15">
        <f>IF(3&lt;=Setup!$D$7,3,"")</f>
        <v/>
      </c>
      <c r="K39" s="15">
        <f>IF(4&lt;=Setup!$D$7,4,"")</f>
        <v/>
      </c>
      <c r="L39" s="15">
        <f>IF(5&lt;=Setup!$D$7,5,"")</f>
        <v/>
      </c>
      <c r="M39" s="15">
        <f>IF(6&lt;=Setup!$D$7,6,"")</f>
        <v/>
      </c>
      <c r="N39" s="7" t="n"/>
    </row>
    <row r="40" ht="22" customHeight="1">
      <c r="A40" s="14" t="n">
        <v>2</v>
      </c>
      <c r="B40" s="15">
        <f>IF(0&lt;=Setup!$C$8,0,"")</f>
        <v/>
      </c>
      <c r="C40" s="15">
        <f>IF(1&lt;=Setup!$C$8,1,"")</f>
        <v/>
      </c>
      <c r="D40" s="15">
        <f>IF(2&lt;=Setup!$C$8,2,"")</f>
        <v/>
      </c>
      <c r="E40" s="15">
        <f>IF(3&lt;=Setup!$C$8,3,"")</f>
        <v/>
      </c>
      <c r="F40" s="15">
        <f>IF(4&lt;=Setup!$C$8,4,"")</f>
        <v/>
      </c>
      <c r="G40" s="15">
        <f>IF(0&lt;=Setup!$D$8,0,"")</f>
        <v/>
      </c>
      <c r="H40" s="15">
        <f>IF(1&lt;=Setup!$D$8,1,"")</f>
        <v/>
      </c>
      <c r="I40" s="15">
        <f>IF(2&lt;=Setup!$D$8,2,"")</f>
        <v/>
      </c>
      <c r="J40" s="15">
        <f>IF(3&lt;=Setup!$D$8,3,"")</f>
        <v/>
      </c>
      <c r="K40" s="15">
        <f>IF(4&lt;=Setup!$D$8,4,"")</f>
        <v/>
      </c>
      <c r="L40" s="15">
        <f>IF(5&lt;=Setup!$D$8,5,"")</f>
        <v/>
      </c>
      <c r="M40" s="15">
        <f>IF(6&lt;=Setup!$D$8,6,"")</f>
        <v/>
      </c>
      <c r="N40" s="7" t="n"/>
    </row>
    <row r="41" ht="22" customHeight="1">
      <c r="A41" s="14" t="n">
        <v>3</v>
      </c>
      <c r="B41" s="15">
        <f>IF(0&lt;=Setup!$C$9,0,"")</f>
        <v/>
      </c>
      <c r="C41" s="15">
        <f>IF(1&lt;=Setup!$C$9,1,"")</f>
        <v/>
      </c>
      <c r="D41" s="15">
        <f>IF(2&lt;=Setup!$C$9,2,"")</f>
        <v/>
      </c>
      <c r="E41" s="15">
        <f>IF(3&lt;=Setup!$C$9,3,"")</f>
        <v/>
      </c>
      <c r="F41" s="15">
        <f>IF(4&lt;=Setup!$C$9,4,"")</f>
        <v/>
      </c>
      <c r="G41" s="15">
        <f>IF(0&lt;=Setup!$D$9,0,"")</f>
        <v/>
      </c>
      <c r="H41" s="15">
        <f>IF(1&lt;=Setup!$D$9,1,"")</f>
        <v/>
      </c>
      <c r="I41" s="15">
        <f>IF(2&lt;=Setup!$D$9,2,"")</f>
        <v/>
      </c>
      <c r="J41" s="15">
        <f>IF(3&lt;=Setup!$D$9,3,"")</f>
        <v/>
      </c>
      <c r="K41" s="15">
        <f>IF(4&lt;=Setup!$D$9,4,"")</f>
        <v/>
      </c>
      <c r="L41" s="15">
        <f>IF(5&lt;=Setup!$D$9,5,"")</f>
        <v/>
      </c>
      <c r="M41" s="15">
        <f>IF(6&lt;=Setup!$D$9,6,"")</f>
        <v/>
      </c>
      <c r="N41" s="7" t="n"/>
    </row>
    <row r="42" ht="22" customHeight="1">
      <c r="A42" s="14" t="n">
        <v>4</v>
      </c>
      <c r="B42" s="15">
        <f>IF(0&lt;=Setup!$C$10,0,"")</f>
        <v/>
      </c>
      <c r="C42" s="15">
        <f>IF(1&lt;=Setup!$C$10,1,"")</f>
        <v/>
      </c>
      <c r="D42" s="15">
        <f>IF(2&lt;=Setup!$C$10,2,"")</f>
        <v/>
      </c>
      <c r="E42" s="15">
        <f>IF(3&lt;=Setup!$C$10,3,"")</f>
        <v/>
      </c>
      <c r="F42" s="15">
        <f>IF(4&lt;=Setup!$C$10,4,"")</f>
        <v/>
      </c>
      <c r="G42" s="15">
        <f>IF(0&lt;=Setup!$D$10,0,"")</f>
        <v/>
      </c>
      <c r="H42" s="15">
        <f>IF(1&lt;=Setup!$D$10,1,"")</f>
        <v/>
      </c>
      <c r="I42" s="15">
        <f>IF(2&lt;=Setup!$D$10,2,"")</f>
        <v/>
      </c>
      <c r="J42" s="15">
        <f>IF(3&lt;=Setup!$D$10,3,"")</f>
        <v/>
      </c>
      <c r="K42" s="15">
        <f>IF(4&lt;=Setup!$D$10,4,"")</f>
        <v/>
      </c>
      <c r="L42" s="15">
        <f>IF(5&lt;=Setup!$D$10,5,"")</f>
        <v/>
      </c>
      <c r="M42" s="15">
        <f>IF(6&lt;=Setup!$D$10,6,"")</f>
        <v/>
      </c>
      <c r="N42" s="7" t="n"/>
    </row>
    <row r="43" ht="22" customHeight="1">
      <c r="A43" s="14" t="n">
        <v>5</v>
      </c>
      <c r="B43" s="15">
        <f>IF(0&lt;=Setup!$C$11,0,"")</f>
        <v/>
      </c>
      <c r="C43" s="15">
        <f>IF(1&lt;=Setup!$C$11,1,"")</f>
        <v/>
      </c>
      <c r="D43" s="15">
        <f>IF(2&lt;=Setup!$C$11,2,"")</f>
        <v/>
      </c>
      <c r="E43" s="15">
        <f>IF(3&lt;=Setup!$C$11,3,"")</f>
        <v/>
      </c>
      <c r="F43" s="15">
        <f>IF(4&lt;=Setup!$C$11,4,"")</f>
        <v/>
      </c>
      <c r="G43" s="15">
        <f>IF(0&lt;=Setup!$D$11,0,"")</f>
        <v/>
      </c>
      <c r="H43" s="15">
        <f>IF(1&lt;=Setup!$D$11,1,"")</f>
        <v/>
      </c>
      <c r="I43" s="15">
        <f>IF(2&lt;=Setup!$D$11,2,"")</f>
        <v/>
      </c>
      <c r="J43" s="15">
        <f>IF(3&lt;=Setup!$D$11,3,"")</f>
        <v/>
      </c>
      <c r="K43" s="15">
        <f>IF(4&lt;=Setup!$D$11,4,"")</f>
        <v/>
      </c>
      <c r="L43" s="15">
        <f>IF(5&lt;=Setup!$D$11,5,"")</f>
        <v/>
      </c>
      <c r="M43" s="15">
        <f>IF(6&lt;=Setup!$D$11,6,"")</f>
        <v/>
      </c>
      <c r="N43" s="7" t="n"/>
    </row>
    <row r="44" ht="20" customHeight="1">
      <c r="A44" s="16" t="inlineStr">
        <is>
          <t>TOTAL SCORE  →</t>
        </is>
      </c>
      <c r="N44" s="17" t="n"/>
    </row>
    <row r="45" ht="9" customHeight="1">
      <c r="A45" s="18" t="n"/>
      <c r="B45" s="18" t="n"/>
      <c r="C45" s="18" t="n"/>
      <c r="D45" s="18" t="n"/>
      <c r="E45" s="18" t="n"/>
      <c r="F45" s="18" t="n"/>
      <c r="G45" s="18" t="n"/>
      <c r="H45" s="18" t="n"/>
      <c r="I45" s="18" t="n"/>
      <c r="J45" s="18" t="n"/>
      <c r="K45" s="18" t="n"/>
      <c r="L45" s="18" t="n"/>
      <c r="M45" s="18" t="n"/>
      <c r="N45" s="18" t="n"/>
    </row>
    <row r="46" ht="19" customHeight="1">
      <c r="A46" s="10">
        <f>Setup!$B$3&amp;"  •  Rubric: Problem Set "&amp;Setup!$B$4</f>
        <v/>
      </c>
      <c r="B46" s="11" t="n"/>
      <c r="C46" s="11" t="n"/>
      <c r="D46" s="11" t="n"/>
      <c r="E46" s="11" t="n"/>
      <c r="F46" s="11" t="n"/>
      <c r="G46" s="11" t="n"/>
      <c r="H46" s="11" t="n"/>
      <c r="I46" s="11" t="n"/>
      <c r="J46" s="11" t="n"/>
      <c r="K46" s="11" t="n"/>
      <c r="L46" s="11" t="n"/>
      <c r="M46" s="11" t="n"/>
      <c r="N46" s="11" t="n"/>
    </row>
    <row r="47" ht="15" customHeight="1">
      <c r="A47" s="12" t="inlineStr">
        <is>
          <t>Prob</t>
        </is>
      </c>
      <c r="B47" s="12" t="inlineStr">
        <is>
          <t>Final Answer</t>
        </is>
      </c>
      <c r="C47" s="13" t="n"/>
      <c r="D47" s="13" t="n"/>
      <c r="E47" s="13" t="n"/>
      <c r="F47" s="13" t="n"/>
      <c r="G47" s="12" t="inlineStr">
        <is>
          <t>Concept &amp; Execution</t>
        </is>
      </c>
      <c r="H47" s="13" t="n"/>
      <c r="I47" s="13" t="n"/>
      <c r="J47" s="13" t="n"/>
      <c r="K47" s="13" t="n"/>
      <c r="L47" s="13" t="n"/>
      <c r="M47" s="13" t="n"/>
      <c r="N47" s="12" t="inlineStr">
        <is>
          <t>Score</t>
        </is>
      </c>
    </row>
    <row r="48" ht="22" customHeight="1">
      <c r="A48" s="14" t="n">
        <v>1</v>
      </c>
      <c r="B48" s="15">
        <f>IF(0&lt;=Setup!$C$7,0,"")</f>
        <v/>
      </c>
      <c r="C48" s="15">
        <f>IF(1&lt;=Setup!$C$7,1,"")</f>
        <v/>
      </c>
      <c r="D48" s="15">
        <f>IF(2&lt;=Setup!$C$7,2,"")</f>
        <v/>
      </c>
      <c r="E48" s="15">
        <f>IF(3&lt;=Setup!$C$7,3,"")</f>
        <v/>
      </c>
      <c r="F48" s="15">
        <f>IF(4&lt;=Setup!$C$7,4,"")</f>
        <v/>
      </c>
      <c r="G48" s="15">
        <f>IF(0&lt;=Setup!$D$7,0,"")</f>
        <v/>
      </c>
      <c r="H48" s="15">
        <f>IF(1&lt;=Setup!$D$7,1,"")</f>
        <v/>
      </c>
      <c r="I48" s="15">
        <f>IF(2&lt;=Setup!$D$7,2,"")</f>
        <v/>
      </c>
      <c r="J48" s="15">
        <f>IF(3&lt;=Setup!$D$7,3,"")</f>
        <v/>
      </c>
      <c r="K48" s="15">
        <f>IF(4&lt;=Setup!$D$7,4,"")</f>
        <v/>
      </c>
      <c r="L48" s="15">
        <f>IF(5&lt;=Setup!$D$7,5,"")</f>
        <v/>
      </c>
      <c r="M48" s="15">
        <f>IF(6&lt;=Setup!$D$7,6,"")</f>
        <v/>
      </c>
      <c r="N48" s="7" t="n"/>
    </row>
    <row r="49" ht="22" customHeight="1">
      <c r="A49" s="14" t="n">
        <v>2</v>
      </c>
      <c r="B49" s="15">
        <f>IF(0&lt;=Setup!$C$8,0,"")</f>
        <v/>
      </c>
      <c r="C49" s="15">
        <f>IF(1&lt;=Setup!$C$8,1,"")</f>
        <v/>
      </c>
      <c r="D49" s="15">
        <f>IF(2&lt;=Setup!$C$8,2,"")</f>
        <v/>
      </c>
      <c r="E49" s="15">
        <f>IF(3&lt;=Setup!$C$8,3,"")</f>
        <v/>
      </c>
      <c r="F49" s="15">
        <f>IF(4&lt;=Setup!$C$8,4,"")</f>
        <v/>
      </c>
      <c r="G49" s="15">
        <f>IF(0&lt;=Setup!$D$8,0,"")</f>
        <v/>
      </c>
      <c r="H49" s="15">
        <f>IF(1&lt;=Setup!$D$8,1,"")</f>
        <v/>
      </c>
      <c r="I49" s="15">
        <f>IF(2&lt;=Setup!$D$8,2,"")</f>
        <v/>
      </c>
      <c r="J49" s="15">
        <f>IF(3&lt;=Setup!$D$8,3,"")</f>
        <v/>
      </c>
      <c r="K49" s="15">
        <f>IF(4&lt;=Setup!$D$8,4,"")</f>
        <v/>
      </c>
      <c r="L49" s="15">
        <f>IF(5&lt;=Setup!$D$8,5,"")</f>
        <v/>
      </c>
      <c r="M49" s="15">
        <f>IF(6&lt;=Setup!$D$8,6,"")</f>
        <v/>
      </c>
      <c r="N49" s="7" t="n"/>
    </row>
    <row r="50" ht="22" customHeight="1">
      <c r="A50" s="14" t="n">
        <v>3</v>
      </c>
      <c r="B50" s="15">
        <f>IF(0&lt;=Setup!$C$9,0,"")</f>
        <v/>
      </c>
      <c r="C50" s="15">
        <f>IF(1&lt;=Setup!$C$9,1,"")</f>
        <v/>
      </c>
      <c r="D50" s="15">
        <f>IF(2&lt;=Setup!$C$9,2,"")</f>
        <v/>
      </c>
      <c r="E50" s="15">
        <f>IF(3&lt;=Setup!$C$9,3,"")</f>
        <v/>
      </c>
      <c r="F50" s="15">
        <f>IF(4&lt;=Setup!$C$9,4,"")</f>
        <v/>
      </c>
      <c r="G50" s="15">
        <f>IF(0&lt;=Setup!$D$9,0,"")</f>
        <v/>
      </c>
      <c r="H50" s="15">
        <f>IF(1&lt;=Setup!$D$9,1,"")</f>
        <v/>
      </c>
      <c r="I50" s="15">
        <f>IF(2&lt;=Setup!$D$9,2,"")</f>
        <v/>
      </c>
      <c r="J50" s="15">
        <f>IF(3&lt;=Setup!$D$9,3,"")</f>
        <v/>
      </c>
      <c r="K50" s="15">
        <f>IF(4&lt;=Setup!$D$9,4,"")</f>
        <v/>
      </c>
      <c r="L50" s="15">
        <f>IF(5&lt;=Setup!$D$9,5,"")</f>
        <v/>
      </c>
      <c r="M50" s="15">
        <f>IF(6&lt;=Setup!$D$9,6,"")</f>
        <v/>
      </c>
      <c r="N50" s="7" t="n"/>
    </row>
    <row r="51" ht="22" customHeight="1">
      <c r="A51" s="14" t="n">
        <v>4</v>
      </c>
      <c r="B51" s="15">
        <f>IF(0&lt;=Setup!$C$10,0,"")</f>
        <v/>
      </c>
      <c r="C51" s="15">
        <f>IF(1&lt;=Setup!$C$10,1,"")</f>
        <v/>
      </c>
      <c r="D51" s="15">
        <f>IF(2&lt;=Setup!$C$10,2,"")</f>
        <v/>
      </c>
      <c r="E51" s="15">
        <f>IF(3&lt;=Setup!$C$10,3,"")</f>
        <v/>
      </c>
      <c r="F51" s="15">
        <f>IF(4&lt;=Setup!$C$10,4,"")</f>
        <v/>
      </c>
      <c r="G51" s="15">
        <f>IF(0&lt;=Setup!$D$10,0,"")</f>
        <v/>
      </c>
      <c r="H51" s="15">
        <f>IF(1&lt;=Setup!$D$10,1,"")</f>
        <v/>
      </c>
      <c r="I51" s="15">
        <f>IF(2&lt;=Setup!$D$10,2,"")</f>
        <v/>
      </c>
      <c r="J51" s="15">
        <f>IF(3&lt;=Setup!$D$10,3,"")</f>
        <v/>
      </c>
      <c r="K51" s="15">
        <f>IF(4&lt;=Setup!$D$10,4,"")</f>
        <v/>
      </c>
      <c r="L51" s="15">
        <f>IF(5&lt;=Setup!$D$10,5,"")</f>
        <v/>
      </c>
      <c r="M51" s="15">
        <f>IF(6&lt;=Setup!$D$10,6,"")</f>
        <v/>
      </c>
      <c r="N51" s="7" t="n"/>
    </row>
    <row r="52" ht="22" customHeight="1">
      <c r="A52" s="14" t="n">
        <v>5</v>
      </c>
      <c r="B52" s="15">
        <f>IF(0&lt;=Setup!$C$11,0,"")</f>
        <v/>
      </c>
      <c r="C52" s="15">
        <f>IF(1&lt;=Setup!$C$11,1,"")</f>
        <v/>
      </c>
      <c r="D52" s="15">
        <f>IF(2&lt;=Setup!$C$11,2,"")</f>
        <v/>
      </c>
      <c r="E52" s="15">
        <f>IF(3&lt;=Setup!$C$11,3,"")</f>
        <v/>
      </c>
      <c r="F52" s="15">
        <f>IF(4&lt;=Setup!$C$11,4,"")</f>
        <v/>
      </c>
      <c r="G52" s="15">
        <f>IF(0&lt;=Setup!$D$11,0,"")</f>
        <v/>
      </c>
      <c r="H52" s="15">
        <f>IF(1&lt;=Setup!$D$11,1,"")</f>
        <v/>
      </c>
      <c r="I52" s="15">
        <f>IF(2&lt;=Setup!$D$11,2,"")</f>
        <v/>
      </c>
      <c r="J52" s="15">
        <f>IF(3&lt;=Setup!$D$11,3,"")</f>
        <v/>
      </c>
      <c r="K52" s="15">
        <f>IF(4&lt;=Setup!$D$11,4,"")</f>
        <v/>
      </c>
      <c r="L52" s="15">
        <f>IF(5&lt;=Setup!$D$11,5,"")</f>
        <v/>
      </c>
      <c r="M52" s="15">
        <f>IF(6&lt;=Setup!$D$11,6,"")</f>
        <v/>
      </c>
      <c r="N52" s="7" t="n"/>
    </row>
    <row r="53" ht="20" customHeight="1">
      <c r="A53" s="16" t="inlineStr">
        <is>
          <t>TOTAL SCORE  →</t>
        </is>
      </c>
      <c r="N53" s="17" t="n"/>
    </row>
  </sheetData>
  <mergeCells count="24">
    <mergeCell ref="B47:F47"/>
    <mergeCell ref="A8:M8"/>
    <mergeCell ref="A17:M17"/>
    <mergeCell ref="G29:M29"/>
    <mergeCell ref="A35:M35"/>
    <mergeCell ref="G20:M20"/>
    <mergeCell ref="A53:M53"/>
    <mergeCell ref="G47:M47"/>
    <mergeCell ref="A1:N1"/>
    <mergeCell ref="A44:M44"/>
    <mergeCell ref="B2:F2"/>
    <mergeCell ref="B11:F11"/>
    <mergeCell ref="G2:M2"/>
    <mergeCell ref="A37:N37"/>
    <mergeCell ref="A46:N46"/>
    <mergeCell ref="G11:M11"/>
    <mergeCell ref="B29:F29"/>
    <mergeCell ref="B38:F38"/>
    <mergeCell ref="G38:M38"/>
    <mergeCell ref="B20:F20"/>
    <mergeCell ref="A26:M26"/>
    <mergeCell ref="A19:N19"/>
    <mergeCell ref="A10:N10"/>
    <mergeCell ref="A28:N28"/>
  </mergeCells>
  <printOptions horizontalCentered="1"/>
  <pageMargins left="0.3" right="0.3" top="0.3" bottom="0.3" header="0.1" footer="0.1"/>
  <pageSetup orientation="portrait" paperSize="9" fitToHeight="1" fitToWidth="1"/>
</worksheet>
</file>

<file path=xl/worksheets/sheet3.xml><?xml version="1.0" encoding="utf-8"?>
<worksheet xmlns="http://schemas.openxmlformats.org/spreadsheetml/2006/main">
  <sheetPr>
    <outlinePr summaryBelow="1" summaryRight="1"/>
    <pageSetUpPr fitToPage="1"/>
  </sheetPr>
  <dimension ref="A1:B41"/>
  <sheetViews>
    <sheetView workbookViewId="0">
      <selection activeCell="A1" sqref="A1"/>
    </sheetView>
  </sheetViews>
  <sheetFormatPr baseColWidth="8" defaultRowHeight="15"/>
  <cols>
    <col width="8" customWidth="1" min="1" max="1"/>
    <col width="108" customWidth="1" min="2" max="2"/>
  </cols>
  <sheetData>
    <row r="1" ht="22" customHeight="1">
      <c r="A1" s="1" t="inlineStr">
        <is>
          <t>GRADING RUBRIC — GUIDE</t>
        </is>
      </c>
    </row>
    <row r="2" ht="33" customHeight="1">
      <c r="A2" s="9" t="inlineStr">
        <is>
          <t>Two dimensions per problem: Final Answer (the result) and Concept &amp; Execution (the physics and the math). Single-unknown problems total 5 pts; multi-step / multi-unknown problems total 10 pts.</t>
        </is>
      </c>
    </row>
    <row r="4" ht="20" customHeight="1">
      <c r="A4" s="19" t="inlineStr">
        <is>
          <t>What each dimension measures</t>
        </is>
      </c>
      <c r="B4" s="20" t="n"/>
    </row>
    <row r="5" ht="33" customHeight="1">
      <c r="A5" s="21" t="inlineStr">
        <is>
          <t>Final Answer  —  Did you land the correct result, properly expressed? Correct value(s), units, and significant figures. This is the ONLY place units and sig figs are judged.</t>
        </is>
      </c>
    </row>
    <row r="6" ht="48" customHeight="1">
      <c r="A6" s="21" t="inlineStr">
        <is>
          <t>Concept &amp; Execution  —  Do you understand the physics and can you carry it out? Right principle/equation (concept) + correct substitution, algebra, and method (execution) + clear, ordered, labeled work (communication). Graded on process, using Error-Carried-Forward.</t>
        </is>
      </c>
    </row>
    <row r="8" ht="20" customHeight="1">
      <c r="A8" s="19" t="inlineStr">
        <is>
          <t>Grading rules (apply before scoring)</t>
        </is>
      </c>
      <c r="B8" s="20" t="n"/>
    </row>
    <row r="9" ht="33" customHeight="1">
      <c r="A9" s="21" t="inlineStr">
        <is>
          <t>1.  Score each column on its own descriptor; never penalize the same flaw twice. Units/sig-fig issues affect only Final Answer.</t>
        </is>
      </c>
    </row>
    <row r="10" ht="18" customHeight="1">
      <c r="A10" s="21" t="inlineStr">
        <is>
          <t>2.  Error-Carried-Forward (ECF): judge each step against the student's own prior results, not the answer key.</t>
        </is>
      </c>
    </row>
    <row r="11" ht="33" customHeight="1">
      <c r="A11" s="21" t="inlineStr">
        <is>
          <t>3.  Consistency (default): the two columns should tell the same story — strong process usually accompanies a correct answer.</t>
        </is>
      </c>
    </row>
    <row r="12" ht="33" customHeight="1">
      <c r="A12" s="21" t="inlineStr">
        <is>
          <t>4.  ECF override: if the ONLY defect is a single arithmetic/transcription slip and every later step is correct under ECF, score Concept &amp; Execution on process merit (it may reach the top band) even though the final answer is wrong.</t>
        </is>
      </c>
    </row>
    <row r="13" ht="18" customHeight="1">
      <c r="A13" s="21" t="inlineStr">
        <is>
          <t>5.  Answer only / no work shown: score Final Answer on merit; Concept &amp; Execution = 0.</t>
        </is>
      </c>
    </row>
    <row r="14" ht="18" customHeight="1">
      <c r="A14" s="21" t="inlineStr">
        <is>
          <t>6.  Blank: 0 / 0.</t>
        </is>
      </c>
    </row>
    <row r="16" ht="20" customHeight="1">
      <c r="A16" s="19" t="inlineStr">
        <is>
          <t>TYPE A — Single-unknown (Total 5)</t>
        </is>
      </c>
      <c r="B16" s="20" t="n"/>
    </row>
    <row r="17" ht="16" customHeight="1">
      <c r="A17" s="22" t="inlineStr">
        <is>
          <t>Final Answer (0–2)</t>
        </is>
      </c>
      <c r="B17" s="23" t="inlineStr">
        <is>
          <t>Description</t>
        </is>
      </c>
    </row>
    <row r="18" ht="19" customHeight="1">
      <c r="A18" s="24" t="inlineStr">
        <is>
          <t>2</t>
        </is>
      </c>
      <c r="B18" s="25" t="inlineStr">
        <is>
          <t>Correct value, correct units, appropriate significant figures.</t>
        </is>
      </c>
    </row>
    <row r="19" ht="19" customHeight="1">
      <c r="A19" s="24" t="inlineStr">
        <is>
          <t>1</t>
        </is>
      </c>
      <c r="B19" s="25" t="inlineStr">
        <is>
          <t>Correct value but units/sig figs wrong, OR a single arithmetic slip giving a near-correct value.</t>
        </is>
      </c>
    </row>
    <row r="20" ht="19" customHeight="1">
      <c r="A20" s="24" t="inlineStr">
        <is>
          <t>0</t>
        </is>
      </c>
      <c r="B20" s="25" t="inlineStr">
        <is>
          <t>Incorrect, or blank.</t>
        </is>
      </c>
    </row>
    <row r="21" ht="16" customHeight="1">
      <c r="A21" s="22" t="inlineStr">
        <is>
          <t>Concept &amp; Execution (0–3)</t>
        </is>
      </c>
      <c r="B21" s="23" t="inlineStr">
        <is>
          <t>Description</t>
        </is>
      </c>
    </row>
    <row r="22" ht="19" customHeight="1">
      <c r="A22" s="24" t="inlineStr">
        <is>
          <t>3</t>
        </is>
      </c>
      <c r="B22" s="25" t="inlineStr">
        <is>
          <t>Correct principle/equation; substitution and algebra correct; work clear and complete.</t>
        </is>
      </c>
    </row>
    <row r="23" ht="19" customHeight="1">
      <c r="A23" s="24" t="inlineStr">
        <is>
          <t>2</t>
        </is>
      </c>
      <c r="B23" s="25" t="inlineStr">
        <is>
          <t>Correct principle; essentially right, with a minor execution slip or sparse-but-followable steps.</t>
        </is>
      </c>
    </row>
    <row r="24" ht="19" customHeight="1">
      <c r="A24" s="24" t="inlineStr">
        <is>
          <t>1</t>
        </is>
      </c>
      <c r="B24" s="25" t="inlineStr">
        <is>
          <t>Relevant concept present, but undermined by a wrong equation or a substantive execution error.</t>
        </is>
      </c>
    </row>
    <row r="25" ht="19" customHeight="1">
      <c r="A25" s="24" t="inlineStr">
        <is>
          <t>0</t>
        </is>
      </c>
      <c r="B25" s="25" t="inlineStr">
        <is>
          <t>Wrong concept, or no meaningful work.</t>
        </is>
      </c>
    </row>
    <row r="27" ht="20" customHeight="1">
      <c r="A27" s="19" t="inlineStr">
        <is>
          <t>TYPE B — Multi-step / multi-unknown (Total 10)</t>
        </is>
      </c>
      <c r="B27" s="20" t="n"/>
    </row>
    <row r="28" ht="16" customHeight="1">
      <c r="A28" s="22" t="inlineStr">
        <is>
          <t>Final Answer (0–4)</t>
        </is>
      </c>
      <c r="B28" s="23" t="inlineStr">
        <is>
          <t>Description</t>
        </is>
      </c>
    </row>
    <row r="29" ht="19" customHeight="1">
      <c r="A29" s="24" t="inlineStr">
        <is>
          <t>4</t>
        </is>
      </c>
      <c r="B29" s="25" t="inlineStr">
        <is>
          <t>Every required final value correct, with correct units.</t>
        </is>
      </c>
    </row>
    <row r="30" ht="19" customHeight="1">
      <c r="A30" s="24" t="inlineStr">
        <is>
          <t>3</t>
        </is>
      </c>
      <c r="B30" s="25" t="inlineStr">
        <is>
          <t>All but one correct; the single miss is minor (units, sig figs, or one small slip).</t>
        </is>
      </c>
    </row>
    <row r="31" ht="19" customHeight="1">
      <c r="A31" s="24" t="inlineStr">
        <is>
          <t>2</t>
        </is>
      </c>
      <c r="B31" s="25" t="inlineStr">
        <is>
          <t>Roughly half the values correct.</t>
        </is>
      </c>
    </row>
    <row r="32" ht="19" customHeight="1">
      <c r="A32" s="24" t="inlineStr">
        <is>
          <t>1</t>
        </is>
      </c>
      <c r="B32" s="25" t="inlineStr">
        <is>
          <t>One value correct, or most contain significant errors.</t>
        </is>
      </c>
    </row>
    <row r="33" ht="19" customHeight="1">
      <c r="A33" s="24" t="inlineStr">
        <is>
          <t>0</t>
        </is>
      </c>
      <c r="B33" s="25" t="inlineStr">
        <is>
          <t>No correct values, or blank.</t>
        </is>
      </c>
    </row>
    <row r="34" ht="16" customHeight="1">
      <c r="A34" s="22" t="inlineStr">
        <is>
          <t>Concept &amp; Execution (0–6)</t>
        </is>
      </c>
      <c r="B34" s="23" t="inlineStr">
        <is>
          <t>Description</t>
        </is>
      </c>
    </row>
    <row r="35" ht="34" customHeight="1">
      <c r="A35" s="24" t="inlineStr">
        <is>
          <t>6</t>
        </is>
      </c>
      <c r="B35" s="25" t="inlineStr">
        <is>
          <t>Correct principle at EVERY step; all substitution, algebra, and units correct (ECF); logically ordered, labeled, easy to follow.</t>
        </is>
      </c>
    </row>
    <row r="36" ht="34" customHeight="1">
      <c r="A36" s="24" t="inlineStr">
        <is>
          <t>5</t>
        </is>
      </c>
      <c r="B36" s="25" t="inlineStr">
        <is>
          <t>Correct principles and method throughout; at most one trivial slip or slightly sparse justification — physics fully sound.</t>
        </is>
      </c>
    </row>
    <row r="37" ht="34" customHeight="1">
      <c r="A37" s="24" t="inlineStr">
        <is>
          <t>4</t>
        </is>
      </c>
      <c r="B37" s="25" t="inlineStr">
        <is>
          <t>Correct approach on the main steps, but ONE real execution error or one wrong/missing equation; work still followable.</t>
        </is>
      </c>
    </row>
    <row r="38" ht="34" customHeight="1">
      <c r="A38" s="24" t="inlineStr">
        <is>
          <t>3</t>
        </is>
      </c>
      <c r="B38" s="25" t="inlineStr">
        <is>
          <t>Correct on some steps, but a wrong principle on a major step and/or several execution errors; reasoning has gaps.</t>
        </is>
      </c>
    </row>
    <row r="39" ht="19" customHeight="1">
      <c r="A39" s="24" t="inlineStr">
        <is>
          <t>2</t>
        </is>
      </c>
      <c r="B39" s="25" t="inlineStr">
        <is>
          <t>Mostly incorrect method; more than a token of correct physics but hard to follow.</t>
        </is>
      </c>
    </row>
    <row r="40" ht="19" customHeight="1">
      <c r="A40" s="24" t="inlineStr">
        <is>
          <t>1</t>
        </is>
      </c>
      <c r="B40" s="25" t="inlineStr">
        <is>
          <t>Little relevant physics; fundamentally the wrong approach with only a token correct fragment.</t>
        </is>
      </c>
    </row>
    <row r="41" ht="19" customHeight="1">
      <c r="A41" s="24" t="inlineStr">
        <is>
          <t>0</t>
        </is>
      </c>
      <c r="B41" s="25" t="inlineStr">
        <is>
          <t>No meaningful work, or blank.</t>
        </is>
      </c>
    </row>
  </sheetData>
  <mergeCells count="14">
    <mergeCell ref="A4:B4"/>
    <mergeCell ref="A2:B2"/>
    <mergeCell ref="A16:B16"/>
    <mergeCell ref="A11:B11"/>
    <mergeCell ref="A10:B10"/>
    <mergeCell ref="A5:B5"/>
    <mergeCell ref="A13:B13"/>
    <mergeCell ref="A14:B14"/>
    <mergeCell ref="A1:B1"/>
    <mergeCell ref="A9:B9"/>
    <mergeCell ref="A27:B27"/>
    <mergeCell ref="A8:B8"/>
    <mergeCell ref="A6:B6"/>
    <mergeCell ref="A12:B1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2026-08-10T14:41:05Z</dcterms:created>
  <dcterms:modified xsi:type="dcterms:W3CDTF">2026-08-10T14:41:05Z</dcterms:modified>
</cp:coreProperties>
</file>